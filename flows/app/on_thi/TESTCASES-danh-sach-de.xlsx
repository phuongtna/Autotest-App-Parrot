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tabRatio="500" activeTab="1"/>
  </bookViews>
  <sheets>
    <sheet name="Cover" sheetId="1" r:id="rId1"/>
    <sheet name="Danh sách đề (Đề thầy cô giao)" sheetId="2" r:id="rId2"/>
    <sheet name="Summary TCs" sheetId="3" r:id="rId3"/>
    <sheet name="Glossary" sheetId="4" state="hidden" r:id="rId4"/>
    <sheet name=" Data" sheetId="5" state="hidden" r:id="rId5"/>
  </sheets>
  <definedNames>
    <definedName name="Google_Sheet_Link_364246022" hidden="1">'Summary TCs'!$A$5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<sst xmlns="http://schemas.openxmlformats.org/spreadsheetml/2006/main" count="571" uniqueCount="307">
  <si>
    <t>Parrot App - Ôn thi - Test Case</t>
  </si>
  <si>
    <t>Initialized Date</t>
  </si>
  <si>
    <t>Author</t>
  </si>
  <si>
    <t>QA Team</t>
  </si>
  <si>
    <t>Info test (account/pass/...</t>
  </si>
  <si>
    <t>Tài khoản HS Free/Pro/Dùng thử có lớp được giáo viên giao đề ôn thi</t>
  </si>
  <si>
    <t>Người Duyệt</t>
  </si>
  <si>
    <t>1. Revision History</t>
  </si>
  <si>
    <t>Date
(YYYY-MM-DD)</t>
  </si>
  <si>
    <t>Version</t>
  </si>
  <si>
    <t>Change Description</t>
  </si>
  <si>
    <t xml:space="preserve"> </t>
  </si>
  <si>
    <t>Parrot App - Ôn thi</t>
  </si>
  <si>
    <t>Test  requirement</t>
  </si>
  <si>
    <t>Danh sách đề (Đề thầy cô giao)</t>
  </si>
  <si>
    <t>TC_ID</t>
  </si>
  <si>
    <t>TC_APP_OnThi_DanhSachDe</t>
  </si>
  <si>
    <t>Number of TCs</t>
  </si>
  <si>
    <t>Pass</t>
  </si>
  <si>
    <t>Fail</t>
  </si>
  <si>
    <t>N/A</t>
  </si>
  <si>
    <t>Pending</t>
  </si>
  <si>
    <t>Todo</t>
  </si>
  <si>
    <t>Retest</t>
  </si>
  <si>
    <t>ACTUAL OUTPUT - 1 [Name]</t>
  </si>
  <si>
    <t>Ảnh pass</t>
  </si>
  <si>
    <t>Note</t>
  </si>
  <si>
    <t>Test case ID</t>
  </si>
  <si>
    <t>Test  Case Name (*)</t>
  </si>
  <si>
    <t>Precondition</t>
  </si>
  <si>
    <t>Detail Step</t>
  </si>
  <si>
    <t>Test Data</t>
  </si>
  <si>
    <t>Expected Result(*)</t>
  </si>
  <si>
    <t>Priority
(*)</t>
  </si>
  <si>
    <t>TC Type
(*)</t>
  </si>
  <si>
    <t>App</t>
  </si>
  <si>
    <t xml:space="preserve">Execute Date </t>
  </si>
  <si>
    <t>Android</t>
  </si>
  <si>
    <t>IOS</t>
  </si>
  <si>
    <t>I. Màn hình Danh sách đề thầy cô giao</t>
  </si>
  <si>
    <t>1. Label Số lượng đề &amp; Dropdown Thời gian giao đề</t>
  </si>
  <si>
    <t>Kiểm tra mặc định Dropdown Thời gian giao đề chọn '2 tuần gần nhất' khi vào màn lần đầu</t>
  </si>
  <si>
    <t>1. Tài khoản HS đã đăng nhập, lớp đang tham gia đã được giáo viên giao ít nhất 1 đề ôn thi
2. Chưa từng vào màn Danh sách đề thầy cô giao trong phiên này</t>
  </si>
  <si>
    <t>1. Vào tab Ôn thi
2. Chọn tab 'Đề thầy cô giao'</t>
  </si>
  <si>
    <t/>
  </si>
  <si>
    <t>2. Dropdown Thời gian giao đề hiển thị mặc định '2 tuần gần nhất'; danh sách đề hiển thị đúng các đề được giao trong 2 tuần gần nhất</t>
  </si>
  <si>
    <t>High</t>
  </si>
  <si>
    <t>Function</t>
  </si>
  <si>
    <t xml:space="preserve">https://prnt.sc/Vu8070iZBVm6 </t>
  </si>
  <si>
    <t>Kiểm tra Label Số lượng đề hiển thị đúng tổng số đề theo bộ lọc thời gian đang chọn</t>
  </si>
  <si>
    <t>1. Lớp HS đang tham gia có 6 đề được giao trong 2 tuần gần nhất và 9 đề trong 1 tháng gần nhất</t>
  </si>
  <si>
    <t>1. Vào màn Danh sách đề thầy cô giao (bộ lọc mặc định '2 tuần gần nhất')
2. Quan sát Label số lượng đề
3. Đổi bộ lọc sang '1 tháng gần nhất'
4. Quan sát lại Label số lượng đề</t>
  </si>
  <si>
    <t>2. Label hiển thị '6 đề'
4. Label cập nhật thành '9 đề'</t>
  </si>
  <si>
    <t>https://prnt.sc/voHnd_CIZV5O
https://prnt.sc/8XLs4CZIY-6J</t>
  </si>
  <si>
    <t>Kiểm tra đổi bộ lọc sang '1 tháng gần nhất' cập nhật đúng danh sách đề hiển thị</t>
  </si>
  <si>
    <t>1. Lớp HS đang tham gia có đề được giao cách đây 3 tuần (nằm ngoài '2 tuần gần nhất' nhưng trong '1 tháng gần nhất')</t>
  </si>
  <si>
    <t>1. Vào màn Danh sách đề thầy cô giao
2. Xác nhận đề giao cách đây 3 tuần không hiển thị ở bộ lọc mặc định
3. Mở Dropdown Thời gian giao đề, chọn '1 tháng gần nhất'</t>
  </si>
  <si>
    <t>2. Đề giao cách đây 3 tuần không xuất hiện trong danh sách
3. Danh sách cập nhật ngay, hiển thị thêm đề giao cách đây 3 tuần</t>
  </si>
  <si>
    <t>https://prnt.sc/q-K6k_eYVZXz
https://prnt.sc/cYA2nMCQ7qww</t>
  </si>
  <si>
    <t>Kiểm tra hiển thị khi không có đề nào trong khoảng thời gian đang lọc</t>
  </si>
  <si>
    <t>1. Lớp HS đang tham gia không có đề nào được giao trong 2 tuần gần nhất (nhưng có đề nằm ngoài khoảng, ví dụ trong 1 tháng gần nhất)</t>
  </si>
  <si>
    <t>1. Vào màn Danh sách đề thầy cô giao với bộ lọc mặc định '2 tuần gần nhất'</t>
  </si>
  <si>
    <t>1. Label hiển thị '0 đề' và khu vực danh sách hiển thị text thông báo trạng thái rỗng (vd: 'Không có đề nào trong khoảng thời gian này'), không hiển thị card đề nào</t>
  </si>
  <si>
    <t>Medium</t>
  </si>
  <si>
    <t>https://prnt.sc/sreE6zwoP_rt
https://prnt.sc/192GTlhYcrZ3</t>
  </si>
  <si>
    <t>Kiểm tra hiển thị text thông báo khi lớp chưa từng được giáo viên giao đề nào</t>
  </si>
  <si>
    <t>1. Lớp HS đang tham gia chưa từng được giáo viên giao bất kỳ đề ôn thi nào (không có đề ở cả 2 mốc thời gian lọc)</t>
  </si>
  <si>
    <t>2. Label hiển thị '0 đề', màn hình hiển thị text thông báo danh sách rỗng (vd: 'Chưa có đề nào được giao') kèm hình minh hoạ (nếu có), không hiển thị lỗi tải dữ liệu và không có card đề nào</t>
  </si>
  <si>
    <t>GUI</t>
  </si>
  <si>
    <t xml:space="preserve">https://prnt.sc/yaS7bBFuAwcG </t>
  </si>
  <si>
    <t>Kiểm tra Dropdown Thời gian giao đề chỉ có đúng 2 lựa chọn</t>
  </si>
  <si>
    <t>1. Đang ở màn Danh sách đề thầy cô giao</t>
  </si>
  <si>
    <t>1. Bấm mở Dropdown Thời gian giao đề</t>
  </si>
  <si>
    <t>1. Dropdown hiển thị đúng 2 lựa chọn: '2 tuần gần nhất' và '1 tháng gần nhất', không có lựa chọn khác</t>
  </si>
  <si>
    <t>Low</t>
  </si>
  <si>
    <t>https://prnt.sc/vmPPNZ1zhMMJ</t>
  </si>
  <si>
    <t>2. Card đề chưa nộp</t>
  </si>
  <si>
    <t>Kiểm tra Card đề chưa nộp hiển thị đầy đủ Tên đề, tiến độ x/y, thanh tiến độ và hạn nộp</t>
  </si>
  <si>
    <t>1. HS được giao đề 'Đề kiểm tra giữa kỳ I - Unit 1-5' gồm 30 câu, đã làm dở 8/30 câu, hạn nộp 12/10</t>
  </si>
  <si>
    <t>1. Vào màn Danh sách đề thầy cô giao
2. Quan sát Card của đề 'Đề kiểm tra giữa kỳ I - Unit 1-5'</t>
  </si>
  <si>
    <t>2. Card hiển thị đúng Tên đề 'Đề kiểm tra giữa kỳ I - Unit 1-5', tiến độ '8/30', thanh tiến độ tương ứng ~27%, hạn nộp '12/10', nút 'Làm tiếp'</t>
  </si>
  <si>
    <t>https://prnt.sc/EtQWOwYveFyO</t>
  </si>
  <si>
    <t>Kiểm tra danh sách Card đề chưa nộp sắp xếp theo Ngày cô giao mới nhất lên đầu</t>
  </si>
  <si>
    <t>1. Lớp HS đang tham gia có 3 đề chưa nộp, được giao vào 3 ngày khác nhau trong 2 tuần gần nhất</t>
  </si>
  <si>
    <t>1. Vào màn Danh sách đề thầy cô giao
2. Quan sát thứ tự các Card trong danh sách</t>
  </si>
  <si>
    <t>2. Các Card được sắp xếp theo thứ tự Ngày giáo viên giao đề giảm dần (đề giao mới nhất hiển thị trên cùng)</t>
  </si>
  <si>
    <t xml:space="preserve">https://jiranew.codeinet.com/browse/PAR-3182 </t>
  </si>
  <si>
    <t>Kiểm tra hiển thị nhãn '(QUÁ HẠN)' màu đỏ khi đề đã quá hạn nộp mà HS chưa nộp bài</t>
  </si>
  <si>
    <t>1. HS được giao đề 'Đề kiểm tra 15 phút - Unit 4' có hạn nộp 09/10, ngày hiện tại sau 09/10 và HS chưa nộp bài</t>
  </si>
  <si>
    <t>1. Vào màn Danh sách đề thầy cô giao
2. Quan sát dòng hạn nộp của Card đề 'Đề kiểm tra 15 phút - Unit 4'</t>
  </si>
  <si>
    <t>2. Dòng hạn nộp hiển thị '09/10 (QUÁ HẠN)' với màu đỏ, nút hành động hiển thị 'Làm bài'</t>
  </si>
  <si>
    <t>https://prnt.sc/9B6nsAOULh12</t>
  </si>
  <si>
    <t>Kiểm tra hiển thị nhãn '(Hôm nay)' khi hạn nộp đề đúng bằng ngày hiện tại</t>
  </si>
  <si>
    <t>1. HS được giao 1 đề có hạn nộp trùng với ngày hệ thống hiện tại và HS chưa nộp bài</t>
  </si>
  <si>
    <t>1. Vào màn Danh sách đề thầy cô giao
2. Quan sát dòng hạn nộp của đề có hạn nộp là hôm nay</t>
  </si>
  <si>
    <t>2. Dòng hạn nộp hiển thị 'dd/mm (Hôm nay)' đúng định dạng, chưa hiển thị trạng thái quá hạn</t>
  </si>
  <si>
    <t>https://prnt.sc/r9Kq_RNnUQiu</t>
  </si>
  <si>
    <t>Kiểm tra Card hiển thị nút 'Làm bài' khi HS chưa từng bắt đầu làm đề (0/y)</t>
  </si>
  <si>
    <t>1. HS được giao 1 đề mới, chưa mở làm lần nào (tiến độ 0/10)</t>
  </si>
  <si>
    <t>1. Vào màn Danh sách đề thầy cô giao
2. Quan sát Card của đề chưa từng làm</t>
  </si>
  <si>
    <t>2. Card hiển thị tiến độ '0/10', thanh tiến độ rỗng, nút hành động hiển thị 'Làm bài'</t>
  </si>
  <si>
    <t>https://prnt.sc/ljNcxv3N0zTg</t>
  </si>
  <si>
    <t>Kiểm tra Card hiển thị nút 'Làm tiếp' khi HS đã làm dở ít nhất 1 câu trong đề</t>
  </si>
  <si>
    <t>1. HS được giao 1 đề, đã làm dở ít nhất 1 câu (vd 8/30), chưa nộp bài</t>
  </si>
  <si>
    <t>1. Vào màn Danh sách đề thầy cô giao
2. Quan sát Card của đề đang làm dở</t>
  </si>
  <si>
    <t>2. Card hiển thị nút hành động 'Làm tiếp' thay vì 'Làm bài'</t>
  </si>
  <si>
    <t>https://prnt.sc/IwS1dy-CDJzp</t>
  </si>
  <si>
    <t>Kiểm tra bấm nút 'Làm bài'/'Làm tiếp' chuyển đến màn Chi tiết đề tương ứng</t>
  </si>
  <si>
    <t>1. Đang ở màn Danh sách đề thầy cô giao, có ít nhất 1 Card đề chưa nộp</t>
  </si>
  <si>
    <t>1. Bấm nút 'Làm bài' (hoặc 'Làm tiếp') trên 1 Card đề bất kỳ</t>
  </si>
  <si>
    <t>1. Hệ thống điều hướng đến màn Chi tiết đề đúng với đề vừa chọn</t>
  </si>
  <si>
    <t>--Làm tiếp:
https://prnt.sc/UZ_dvsgJvBOW
https://prnt.sc/fTJTEeGcwT3Y
--Làm bài: 
https://prnt.sc/EPClGXzW5SYi
https://prnt.sc/t2LUWBSEDUut</t>
  </si>
  <si>
    <t>3. Card đề đã nộp</t>
  </si>
  <si>
    <t>Kiểm tra Card đề đã nộp hiển thị đầy đủ khối điểm minh hoạ, Tên đề, x/y và điểm cao nhất</t>
  </si>
  <si>
    <t>1. HS đã nộp đề 'Đề kiểm tra 15 phút - Unit 3' với kết quả 8/10 câu đúng, điểm cao nhất đạt được là 8.0</t>
  </si>
  <si>
    <t>1. Vào màn Danh sách đề thầy cô giao
2. Cuộn đến khu vực các đề đã nộp (mục 'Điểm')
3. Quan sát Card của đề 'Đề kiểm tra 15 phút - Unit 3'</t>
  </si>
  <si>
    <t>3. Card hiển thị khối điểm minh hoạ, Tên đề 'Đề kiểm tra 15 phút - Unit 3', tỉ lệ '8/10', thanh tỉ lệ đúng/sai tương ứng, điểm cao nhất '8.0'</t>
  </si>
  <si>
    <t>https://prnt.sc/L4bY_Y8Uuyym</t>
  </si>
  <si>
    <t>Kiểm tra thanh tỉ lệ đúng (xanh)/sai (đỏ) hiển thị đúng màu theo số câu đúng và sai</t>
  </si>
  <si>
    <t>1. HS đã nộp 1 đề với kết quả 7 câu đúng, 3 câu sai trên tổng 10 câu</t>
  </si>
  <si>
    <t>1. Vào màn Danh sách đề thầy cô giao, mục đề đã nộp
2. Quan sát thanh tỉ lệ trên Card</t>
  </si>
  <si>
    <t>2. Thanh tỉ lệ hiển thị đoạn xanh tương ứng 7/10 và đoạn đỏ tương ứng 3/10</t>
  </si>
  <si>
    <t>https://prnt.sc/gl4CJILqp8d3</t>
  </si>
  <si>
    <t>Kiểm tra điểm hiển thị trên Card là điểm của lần làm bài cao nhất khi HS làm lại nhiều lần</t>
  </si>
  <si>
    <t>1. HS đã làm đề 3 lần với điểm số lần lượt 6.0, 9.0, 7.5</t>
  </si>
  <si>
    <t>1. Vào màn Danh sách đề thầy cô giao, mục đề đã nộp
2. Quan sát điểm hiển thị trên Card của đề đã làm 3 lần</t>
  </si>
  <si>
    <t>2. Card hiển thị điểm '9.0' (điểm cao nhất trong 3 lần làm), không phải điểm của lần làm gần nhất</t>
  </si>
  <si>
    <t xml:space="preserve">--Lần làm bài thứ 2:
https://prnt.sc/drUJ1_nuFo3G
https://prnt.sc/K2dEj3Clbkjq
--Lần làm bài thứ 3 (điểm cao nhất):
https://prnt.sc/8hKHpOTMoJVc
https://prnt.sc/4bNuOm2t_VVE
--Lần làm bài thứ 4:
https://prnt.sc/KWrybMlG7j_1
https://prnt.sc/nSRsq8DFz-W7 
</t>
  </si>
  <si>
    <t>Kiểm tra bấm 'Xem bài đã làm' mở đúng màn Lịch sử làm bài của đề tương ứng</t>
  </si>
  <si>
    <t>1. Đang ở màn Danh sách đề thầy cô giao, có ít nhất 1 Card đề đã nộp</t>
  </si>
  <si>
    <t>1. Bấm 'Xem bài đã làm' trên Card đề đã nộp</t>
  </si>
  <si>
    <t>1. Hệ thống mở màn Lịch sử làm bài đúng với đề vừa chọn, hiển thị danh sách các lần làm bài</t>
  </si>
  <si>
    <t>https://prnt.sc/oE2fTXH0E5T7
https://prnt.sc/7z6tfQ3rJBKM
https://prnt.sc/yYxKhgBPcvOi</t>
  </si>
  <si>
    <t>II. Rule hiển thị đề theo trạng thái công khai trên CMS</t>
  </si>
  <si>
    <t>1. Công khai / Chưa công khai / Ẩn / Xoá đề</t>
  </si>
  <si>
    <t>Kiểm tra đề ở trạng thái Công khai trên CMS hiển thị trong danh sách đề</t>
  </si>
  <si>
    <t>1. Giáo viên đã giao 1 đề cho lớp HS, đề đang ở trạng thái Công khai trên CMS</t>
  </si>
  <si>
    <t>1. Vào màn Danh sách đề thầy cô giao</t>
  </si>
  <si>
    <t>1. Đề Công khai hiển thị bình thường trong danh sách</t>
  </si>
  <si>
    <t>https://prnt.sc/IyoIgKJxAQnh</t>
  </si>
  <si>
    <t>Kiểm tra đề ở trạng thái Chưa công khai trên CMS không hiển thị trong danh sách đề</t>
  </si>
  <si>
    <t>1. Giáo viên đã giao 1 đề cho lớp HS nhưng đề đang ở trạng thái Chưa công khai trên CMS</t>
  </si>
  <si>
    <t>1. Đề Chưa công khai không xuất hiện trong danh sách đề trên App/Web, kể cả khi đã nằm trong khoảng thời gian lọc</t>
  </si>
  <si>
    <t>https://prnt.sc/6_RUdkcD8b7z
https://prnt.sc/xa1j5K6tV4uy</t>
  </si>
  <si>
    <t>Kiểm tra HS đang làm dở đề mà giáo viên Ẩn đề giữa chừng vẫn tiếp tục làm và nhận được kết quả</t>
  </si>
  <si>
    <t>1. HS đang trong màn làm bài của 1 đề (đã trả lời một số câu, chưa nộp)
2. Giáo viên chuyển đề này sang trạng thái Chưa công khai trên CMS ngay trong lúc HS đang làm</t>
  </si>
  <si>
    <t>1. HS tiếp tục làm hết các câu còn lại trong đề
2. HS bấm Nộp bài</t>
  </si>
  <si>
    <t>1. HS làm bài bình thường, không bị gián đoạn hay chặn
2. Hệ thống chấm và trả kết quả bình thường cho lần làm này</t>
  </si>
  <si>
    <t>Kiểm tra đề bị Ẩn giữa chừng sau khi HS đã nộp bài vẫn hiển thị trên App nếu Web vẫn đang hiển thị đề đó</t>
  </si>
  <si>
    <t>1. HS vừa hoàn thành và nộp bài một đề đã bị giáo viên Ẩn (chuyển Chưa công khai) trong lúc đang làm
2. Trên Web, đề này vẫn đang hiển thị trong danh sách đề đã giao (giáo viên chưa ẩn hẳn khỏi Web)</t>
  </si>
  <si>
    <t>1. Kiểm tra danh sách đề đã giao trên Web đối với đề vừa bị Ẩn
2. Quay lại màn Danh sách đề thầy cô giao trên App</t>
  </si>
  <si>
    <t>1. Web vẫn hiển thị đề đã bị Ẩn trong danh sách đề đã giao
2. App cũng vẫn hiển thị đề vừa nộp ở mục đề đã nộp, đồng bộ đúng với trạng thái đang hiển thị trên Web, kèm điểm số/kết quả của lần làm vừa nộp</t>
  </si>
  <si>
    <t>Kiểm tra giáo viên Xoá đề thi trên CMS làm biến mất toàn bộ hiển thị và lịch sử làm bài phía HS</t>
  </si>
  <si>
    <t>1. HS đã từng làm và nộp bài 1 đề, đề này sau đó bị giáo viên Xoá khỏi CMS</t>
  </si>
  <si>
    <t>1. Vào màn Danh sách đề thầy cô giao
2. Kiểm tra màn Lịch sử làm bài liên quan đến đề đã bị xoá (nếu còn truy cập được từ nơi khác)</t>
  </si>
  <si>
    <t>1. Đề đã bị xoá không còn xuất hiện trong danh sách đề
2. Toàn bộ lịch sử làm bài của đề đã xoá cũng không còn truy cập được</t>
  </si>
  <si>
    <t>--Trước xóa:
https://prnt.sc/NlSkfuFLwE5d
https://prnt.sc/8oIzuINcScXK
https://prnt.sc/FNioLOL7qoFl
https://prnt.sc/XYNu5r8PRB35
--Sau xóa:
https://prnt.sc/oxezikEXisf2
https://prnt.sc/2gfLN4oXboPa
https://prnt.sc/k8tF_NG4_o2V</t>
  </si>
  <si>
    <t>III. Rule quyền truy cập theo gói dịch vụ</t>
  </si>
  <si>
    <t>1. Đề Free</t>
  </si>
  <si>
    <t>Kiểm tra mọi loại tài khoản (Free/Pro/Dùng thử) đều làm được đề Free</t>
  </si>
  <si>
    <t>1. Lớp HS được giao 1 đề Free
2. Lần lượt kiểm tra với tài khoản Free, Pro, Dùng thử</t>
  </si>
  <si>
    <t>1. Bấm 'Làm bài' trên Card đề Free với từng loại tài khoản</t>
  </si>
  <si>
    <t>1. Cả 3 loại tài khoản đều vào được màn làm bài và làm đề Free bình thường, không bị chặn</t>
  </si>
  <si>
    <t>--Tài khoản pro/ dùng thử:
https://prnt.sc/tpoLcN1q0VSg
https://prnt.sc/ebhd7PUOmm5a
--Tài khoản thường/ hết hạn: 
https://prnt.sc/zB89WFq5V-bC
https://prnt.sc/-CF0FCz-d_DY</t>
  </si>
  <si>
    <t>Kiểm tra tài khoản Free bị chặn chức năng Làm lại đối với đề Free đã nộp</t>
  </si>
  <si>
    <t>1. Tài khoản Free đã nộp bài 1 đề Free</t>
  </si>
  <si>
    <t>1. Vào màn Danh sách đề thầy cô giao, mục đề đã nộp
2. Mở Card đề Free vừa nộp
3. Tìm và bấm chức năng Làm lại (nếu có hiển thị)</t>
  </si>
  <si>
    <t>3. Chức năng Làm lại không khả dụng hoặc bị chặn với tài khoản Free (không cho làm lại đề Free)</t>
  </si>
  <si>
    <t>https://prnt.sc/dkMNK44D5UmQ
https://prnt.sc/hQi8rY17u7u2</t>
  </si>
  <si>
    <t>Kiểm tra tài khoản Free bị chặn yêu cầu AI giải thích/dịch đối với đề Free</t>
  </si>
  <si>
    <t>1. Tài khoản Free đang xem đáp án hoặc đang làm 1 câu trong đề Free</t>
  </si>
  <si>
    <t>1. Bấm vào chức năng AI giải thích hoặc AI dịch trên câu hỏi/đáp án</t>
  </si>
  <si>
    <t>1. Hệ thống chặn/không cho sử dụng AI giải thích, dịch với tài khoản Free, hoặc hiển thị bottom sheet nâng cấp</t>
  </si>
  <si>
    <t>https://prnt.sc/p6oF2VFiGhnN
https://prnt.sc/dgOrWeyVnDIg</t>
  </si>
  <si>
    <t>2. Đề Pro</t>
  </si>
  <si>
    <t>Kiểm tra tài khoản Pro làm đề Pro và sử dụng không giới hạn tính năng</t>
  </si>
  <si>
    <t>1. Tài khoản đang ở gói Pro, lớp HS được giao 1 đề Pro</t>
  </si>
  <si>
    <t>1. Bấm 'Làm bài' trên Card đề Pro
2. Trong lúc làm bài, sử dụng các tính năng AI giải thích/dịch</t>
  </si>
  <si>
    <t>1. Tài khoản Pro vào làm bài bình thường
2. Các tính năng AI giải thích/dịch hoạt động không giới hạn</t>
  </si>
  <si>
    <t xml:space="preserve">--Làm bài:
https://prnt.sc/z1tYzq4CUdVt
https://prnt.sc/4yudRQVpr5Yy
https://prnt.sc/S_lsvW-A3tL8
--AI Giải thích:
https://prnt.sc/ZbJEttdezWqE </t>
  </si>
  <si>
    <t>Kiểm tra tài khoản Dùng thử làm đề Pro với đầy đủ tính năng tương tự Pro</t>
  </si>
  <si>
    <t>1. Tài khoản đang ở gói Dùng thử (Trial), lớp HS được giao 1 đề Pro</t>
  </si>
  <si>
    <t>1. Bấm 'Làm bài' trên Card đề Pro
2. Sử dụng chức năng Làm lại và AI giải thích sau khi nộp bài</t>
  </si>
  <si>
    <t>1. Tài khoản Dùng thử vào làm bài bình thường như tài khoản Pro
2. Chức năng Làm lại và AI giải thích hoạt động không giới hạn</t>
  </si>
  <si>
    <t>Kiểm tra tài khoản Free xem được Thông tin đề Pro nhưng bị chặn khi bấm Bắt đầu làm bài</t>
  </si>
  <si>
    <t>1. Tài khoản đang ở gói Free, lớp HS được giao 1 đề Pro, HS chưa từng làm đề này</t>
  </si>
  <si>
    <t>1. Bấm vào Card đề Pro để xem Thông tin đề
2. Bấm nút 'Bắt đầu làm bài'</t>
  </si>
  <si>
    <t>1. Tài khoản Free xem được đầy đủ Thông tin đề Pro (tên đề, số câu, thời gian làm...)
2. Hệ thống hiển thị bottom sheet nâng cấp gói thay vì cho vào làm bài</t>
  </si>
  <si>
    <t>https://prnt.sc/IurzZYQQPPFi</t>
  </si>
  <si>
    <t>Kiểm tra tài khoản đã hết hạn Pro/Dùng thử vẫn xem được Kết quả và đáp án đúng/sai của đề Pro đã làm trước đó</t>
  </si>
  <si>
    <t>1. Tài khoản từng là Pro/Dùng thử và đã nộp bài 1 đề Pro khi còn hiệu lực gói
2. Gói Pro/Dùng thử của tài khoản hiện đã hết hạn</t>
  </si>
  <si>
    <t>1. Vào màn Danh sách đề thầy cô giao, mục đề đã nộp
2. Bấm 'Xem bài đã làm' trên đề Pro đã nộp trước đó</t>
  </si>
  <si>
    <t>2. Hệ thống vẫn hiển thị đầy đủ Kết quả, điểm số và đáp án đúng/sai của lần làm bài đó</t>
  </si>
  <si>
    <t>https://prnt.sc/EBgTjT4ctji6
https://prnt.sc/ZZGSfoiW3jmD
https://prnt.sc/RcPkTfP6sncX</t>
  </si>
  <si>
    <t>Kiểm tra tài khoản đã hết hạn Pro/Dùng thử bị chặn Làm lại và AI giải thích đối với đề Pro đã làm trước đó</t>
  </si>
  <si>
    <t>1. Vào màn Kết quả/đáp án của đề Pro đã làm trước đó
2. Thử bấm chức năng Làm lại
3. Thử bấm chức năng AI giải thích</t>
  </si>
  <si>
    <t>2. Chức năng Làm lại không khả dụng/bị chặn
3. Chức năng AI giải thích không khả dụng/bị chặn</t>
  </si>
  <si>
    <t>--Làm lại:
https://prnt.sc/cHB7KHjt0M0c
https://prnt.sc/IurzZYQQPPFi
--AI giải thích:
https://prnt.sc/Cy3HC8dssdgH</t>
  </si>
  <si>
    <t>IV. Rule trạng thái đề</t>
  </si>
  <si>
    <t>1. Đã hoàn thành / Đang làm dở / Tự động nộp</t>
  </si>
  <si>
    <t>Kiểm tra đề đã hoàn thành và không có phiên làm dở hiển thị đúng trạng thái 'Đã hoàn thành'</t>
  </si>
  <si>
    <t>1. HS đã làm và nộp bài 1 đề, không còn phiên làm dở nào khác của đề đó</t>
  </si>
  <si>
    <t>1. Vào màn Danh sách đề thầy cô giao
2. Quan sát Card của đề đã hoàn thành</t>
  </si>
  <si>
    <t>2. Card hiển thị ở mục đề đã nộp với trạng thái 'Đã hoàn thành'</t>
  </si>
  <si>
    <t>https://prnt.sc/SICoYb6EiTwA</t>
  </si>
  <si>
    <t>Kiểm tra đề từng hoàn thành nhưng đang có phiên Làm lại dở dang hiển thị trạng thái 'Đang làm dở'</t>
  </si>
  <si>
    <t>1. HS đã từng hoàn thành 1 đề
2. HS bấm Làm lại đề đó và đang làm dở (chưa nộp) phiên Làm lại này</t>
  </si>
  <si>
    <t>1. Thoát giữa chừng phiên Làm lại
2. Vào lại màn Danh sách đề thầy cô giao
3. Quan sát Card của đề đang có phiên Làm lại dở dang</t>
  </si>
  <si>
    <t>3. Card hiển thị trạng thái 'Đang làm dở' thay vì 'Đã hoàn thành', dù trước đó đề này đã từng hoàn thành</t>
  </si>
  <si>
    <t>Pass - Test 2026-10-28 (chuyển sang profile Pro 'Hoàng Gia Minh'/11H): đề 'Đề thi B EDIT' đã hoàn thành trước đó (2 lần, điểm 0 và 6) -&gt; bấm 'Làm lại' -&gt; làm tới câu 4/20 -&gt; thoát giữa chừng (X). Quay lại danh sách: card hiển thị đúng tiến độ '3/20', 'Hạn nộp 28/10 (Hôm nay)' xuất hiện lại, CTA đổi thành 'Làm tiếp' (không còn khối điểm/CTA 'Làm lại' cũ) - đúng behavior 'Đang làm dở'.
https://prnt.sc/OTDUwSF-aprk</t>
  </si>
  <si>
    <t>Kiểm tra đề đang làm dở hết thời gian làm bài, hệ thống tự động nộp và chuyển trạng thái 'Đã hoàn thành' sau khi load lại menu</t>
  </si>
  <si>
    <t>1. Đề có giới hạn thời gian làm bài, HS đang làm dở đề và để hết thời gian mà không chủ động nộp bài</t>
  </si>
  <si>
    <t>1. Để hết thời gian làm bài của đề (hệ thống tự động nộp)
2. Quay lại/load lại màn Danh sách đề thầy cô giao</t>
  </si>
  <si>
    <t>2. Đề chuyển sang trạng thái 'Đã hoàn thành' ở mục đề đã nộp, với kết quả theo bài tự động nộp</t>
  </si>
  <si>
    <t>https://prnt.sc/cuuS7IUu8-ZW
https://prnt.sc/hz-bF7oWPpOt
https://prnt.sc/KfuMlM4HcNjP
https://prnt.sc/8p5wGw01t1aU</t>
  </si>
  <si>
    <t>V. Rule hạn nộp đề</t>
  </si>
  <si>
    <t>1. Quá hạn nộp</t>
  </si>
  <si>
    <t>Kiểm tra đề đã quá hạn nộp mà HS chưa làm vẫn cho phép làm bài và nộp bài bình thường</t>
  </si>
  <si>
    <t>1. HS được giao 1 đề đã quá hạn nộp (ngày hiện tại sau hạn nộp) và chưa làm</t>
  </si>
  <si>
    <t>1. Vào màn Danh sách đề thầy cô giao
2. Bấm 'Làm bài' trên Card đề quá hạn
3. Hoàn thành các câu hỏi và bấm Nộp bài</t>
  </si>
  <si>
    <t>2. Hệ thống cho vào làm bài bình thường, không chặn
3. Hệ thống nhận nộp bài thành công và chấm điểm bình thường</t>
  </si>
  <si>
    <t>https://prnt.sc/ljFLMhputRyC
https://prnt.sc/ASt17cTAA1bs
https://prnt.sc/Z72FHaQHy0Ai
https://prnt.sc/oJXW3uLGcMLI</t>
  </si>
  <si>
    <t>Kiểm tra sau khi nộp bài một đề quá hạn, Card chuyển sang trạng thái đã nộp với điểm số hiển thị đúng</t>
  </si>
  <si>
    <t>1. HS vừa nộp bài thành công 1 đề đã quá hạn nộp</t>
  </si>
  <si>
    <t>1. Quay lại màn Danh sách đề thầy cô giao
2. Quan sát Card của đề vừa nộp ở mục đề đã nộp</t>
  </si>
  <si>
    <t>2. Card hiển thị ở mục đã nộp với x/y và điểm số đúng theo kết quả bài làm, không bị đánh dấu lỗi vì nộp trễ hạn</t>
  </si>
  <si>
    <t>https://prnt.sc/ljFLMhputRyC
https://prnt.sc/oJXW3uLGcMLI</t>
  </si>
  <si>
    <t>VI. Rule thông báo giao đề &amp; HS vào lớp sau khi được giao đề</t>
  </si>
  <si>
    <t>1. Thông báo giao đề mới</t>
  </si>
  <si>
    <t>Kiểm tra HS nhận được thông báo trong app khi được giáo viên giao đề mới</t>
  </si>
  <si>
    <t>1. HS đang là thành viên của lớp, giáo viên vừa giao 1 đề mới cho lớp đó</t>
  </si>
  <si>
    <t>1. Giáo viên giao đề mới cho lớp
2. Kiểm tra mục Thông báo trong app của HS</t>
  </si>
  <si>
    <t>2. HS nhận được thông báo giao đề mới tương ứng trong app</t>
  </si>
  <si>
    <t>https://prnt.sc/LCN7MRhL8HTb
https://prnt.sc/6fyIsU3SRHqc</t>
  </si>
  <si>
    <t>Kiểm tra bấm vào thông báo giao đề mới chuyển thẳng đến màn Chi tiết đề tương ứng</t>
  </si>
  <si>
    <t>1. HS đang có thông báo giao đề mới chưa đọc trong app</t>
  </si>
  <si>
    <t>1. Mở mục Thông báo
2. Bấm vào thông báo giao đề mới</t>
  </si>
  <si>
    <t>2. Hệ thống điều hướng thẳng đến màn Chi tiết đề đúng với đề vừa được giao</t>
  </si>
  <si>
    <t xml:space="preserve">https://prnt.sc/LCN7MRhL8HTb
https://prnt.sc/KvGEB-xKWUJV
https://prnt.sc/6fyIsU3SRHqc
https://prnt.sc/YcIJT1K3S2jF
</t>
  </si>
  <si>
    <t>2. HS vào lớp sau khi giáo viên đã giao đề</t>
  </si>
  <si>
    <t>Kiểm tra HS vào lớp sau khi giáo viên đã giao đề vẫn thấy những đề còn hạn nộp trong danh sách</t>
  </si>
  <si>
    <t>1. Giáo viên đã giao 1 đề cho lớp trước khi HS tham gia lớp, đề vẫn còn hạn nộp
2. HS vừa được thêm vào lớp này</t>
  </si>
  <si>
    <t>1. HS vào tab Ôn thi &gt; Đề thầy cô giao của lớp vừa tham gia</t>
  </si>
  <si>
    <t>1. Đề còn hạn nộp được giao trước đó vẫn hiển thị bình thường trong danh sách đề của HS</t>
  </si>
  <si>
    <t>https://prnt.sc/CR4IMkxQ-cM5</t>
  </si>
  <si>
    <t>Kiểm tra HS vào lớp sau khi giáo viên đã giao đề không nhận được thông báo giao đề của đề đã giao trước đó</t>
  </si>
  <si>
    <t>1. Giáo viên đã giao 1 đề cho lớp trước khi HS tham gia lớp
2. HS vừa được thêm vào lớp này</t>
  </si>
  <si>
    <t>1. Kiểm tra mục Thông báo của HS ngay sau khi vào lớp</t>
  </si>
  <si>
    <t>1. HS không nhận được thông báo giao đề mới cho đề đã được giao trước thời điểm HS vào lớp</t>
  </si>
  <si>
    <t>Kiểm tra đề đã hết hạn nộp trước khi HS vào lớp vẫn hiển thị trong danh sách nếu nằm trong khoảng thời gian lọc</t>
  </si>
  <si>
    <t>1. Giáo viên đã giao 1 đề cho lớp và đề đã hết hạn nộp trước khi HS tham gia lớp
2. Thời điểm giao đề vẫn nằm trong khoảng thời gian bộ lọc đang chọn</t>
  </si>
  <si>
    <t>1. Đề đã quá hạn vẫn hiển thị trong danh sách với nhãn '(QUÁ HẠN)', HS vẫn làm được bài bình thường theo Rule hạn nộp</t>
  </si>
  <si>
    <t>https://prnt.sc/Nh6rHFsStoSx</t>
  </si>
  <si>
    <t>3. Phạm vi hiển thị đề theo lớp</t>
  </si>
  <si>
    <t>Kiểm tra danh sách đề chỉ hiển thị đề được giao cho đúng lớp HS đang tham gia</t>
  </si>
  <si>
    <t>1. HS tham gia lớp 7A, giáo viên giao 1 đề riêng cho lớp 7A</t>
  </si>
  <si>
    <t>1. Vào màn Danh sách đề thầy cô giao của lớp 7A</t>
  </si>
  <si>
    <t>1. Đề được giao cho lớp 7A hiển thị đầy đủ trong danh sách</t>
  </si>
  <si>
    <t>Kiểm tra đề giao cho lớp khác không hiển thị trong danh sách đề của lớp HS đang tham gia</t>
  </si>
  <si>
    <t>1. HS chỉ tham gia lớp 7A, giáo viên giao 1 đề riêng cho lớp 7B (HS không tham gia lớp này)</t>
  </si>
  <si>
    <t>1. Đề giao cho lớp 7B không xuất hiện trong danh sách đề của HS</t>
  </si>
  <si>
    <t>[Link CMS / hệ thống test]</t>
  </si>
  <si>
    <t>[Tên dự án]</t>
  </si>
  <si>
    <t>Categories</t>
  </si>
  <si>
    <t>Test Case Overview</t>
  </si>
  <si>
    <t>STT</t>
  </si>
  <si>
    <t>#TC</t>
  </si>
  <si>
    <t>Status Test</t>
  </si>
  <si>
    <t>Người test</t>
  </si>
  <si>
    <t>Total</t>
  </si>
  <si>
    <t>%</t>
  </si>
  <si>
    <t>Phân loại</t>
  </si>
  <si>
    <t>Thật ngữ sử dụng</t>
  </si>
  <si>
    <t>Giải nghĩa</t>
  </si>
  <si>
    <t>Đối tượng sử dụng</t>
  </si>
  <si>
    <t>Ghi chú</t>
  </si>
  <si>
    <t xml:space="preserve">Trạng thái test </t>
  </si>
  <si>
    <t>QA/QC/Tester</t>
  </si>
  <si>
    <t>Sẵn sàng test</t>
  </si>
  <si>
    <t>Doing</t>
  </si>
  <si>
    <t>Đang test</t>
  </si>
  <si>
    <t>Đã pass</t>
  </si>
  <si>
    <t>Có lỗi - log lỗi</t>
  </si>
  <si>
    <t>Dừng test do chưa đủ điều kiện, dữ kiện/ kịch bản thiết sót/ chờ xác nhận</t>
  </si>
  <si>
    <t>Re-Test</t>
  </si>
  <si>
    <t>Cần test lại sau quá trình Dev fixed</t>
  </si>
  <si>
    <t>Không test - do không trong scope test</t>
  </si>
  <si>
    <t>Priority</t>
  </si>
  <si>
    <t>Mức độ ưu tiên của test case</t>
  </si>
  <si>
    <t>Là những TCs là chức năng chính và happy cases</t>
  </si>
  <si>
    <t>Là những TCs là chức năng validate</t>
  </si>
  <si>
    <t>Là những TCs là check giao diện</t>
  </si>
  <si>
    <t>Tiền điều kiện - Điều kiện này cần có để thực hiện được ý nghĩa test case đưa ra</t>
  </si>
  <si>
    <t>Test data</t>
  </si>
  <si>
    <t>Dữ liệu nhập vào test - tương ứng với mỗi trường thông tin</t>
  </si>
  <si>
    <t>Untested</t>
  </si>
  <si>
    <t>Chưa được kiểm tra</t>
  </si>
  <si>
    <t>Next Release/Next Version</t>
  </si>
  <si>
    <t>Phiên bản tiếp theo</t>
  </si>
  <si>
    <t>QA/QC/Tester/Dev</t>
  </si>
  <si>
    <t>Resolved</t>
  </si>
  <si>
    <t>Đã giải quyết - thường dùng diễn đạt những Q&amp;A đã giải quyết</t>
  </si>
  <si>
    <t xml:space="preserve">Validate </t>
  </si>
  <si>
    <t>Kiểm tra xác nhận hợp lệ - không hợp lệ ; Xác nhận với mỗi field</t>
  </si>
  <si>
    <t>Status</t>
  </si>
  <si>
    <t>TC Type</t>
  </si>
  <si>
    <t>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</si>
</sst>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d/mm/yyyy"/>
    <numFmt numFmtId="177" formatCode="dd\-mmm\-yy"/>
    <numFmt numFmtId="178" formatCode="[$-409]d\-mmm\-yy"/>
  </numFmts>
  <fonts count="48">
    <font>
      <sz val="10"/>
      <color rgb="FF000000"/>
      <name val="Arial"/>
      <charset val="1"/>
    </font>
    <font>
      <sz val="10"/>
      <color theme="1"/>
      <name val="Times New Roman"/>
      <charset val="1"/>
    </font>
    <font>
      <b/>
      <sz val="10"/>
      <color theme="1"/>
      <name val="Times New Roman"/>
      <charset val="1"/>
    </font>
    <font>
      <sz val="10"/>
      <color rgb="FF000000"/>
      <name val="Times New Roman"/>
      <charset val="1"/>
    </font>
    <font>
      <b/>
      <sz val="11"/>
      <color theme="1"/>
      <name val="Times New Roman"/>
      <charset val="1"/>
    </font>
    <font>
      <b/>
      <u/>
      <sz val="11"/>
      <color theme="1"/>
      <name val="Times New Roman"/>
      <charset val="1"/>
    </font>
    <font>
      <b/>
      <sz val="11"/>
      <color rgb="FFFFFFFF"/>
      <name val="Times New Roman"/>
      <charset val="1"/>
    </font>
    <font>
      <sz val="10"/>
      <name val="Times New Roman"/>
      <charset val="134"/>
    </font>
    <font>
      <b/>
      <sz val="10"/>
      <name val="Times New Roman"/>
      <charset val="134"/>
    </font>
    <font>
      <b/>
      <sz val="10"/>
      <color theme="0"/>
      <name val="Times New Roman"/>
      <charset val="1"/>
    </font>
    <font>
      <b/>
      <sz val="10"/>
      <color rgb="FFFFFFFF"/>
      <name val="Times New Roman"/>
      <charset val="1"/>
    </font>
    <font>
      <b/>
      <sz val="10"/>
      <color rgb="FFFFFFFF"/>
      <name val="Times New Roman"/>
      <charset val="134"/>
    </font>
    <font>
      <b/>
      <sz val="10"/>
      <color rgb="FFFFFFFF"/>
      <name val="Arial"/>
      <charset val="134"/>
    </font>
    <font>
      <u/>
      <sz val="11"/>
      <color rgb="FF0000FF"/>
      <name val="Arial"/>
      <charset val="0"/>
      <scheme val="minor"/>
    </font>
    <font>
      <sz val="10"/>
      <name val="Arial"/>
      <charset val="134"/>
    </font>
    <font>
      <sz val="11"/>
      <name val="Arial"/>
      <charset val="0"/>
      <scheme val="minor"/>
    </font>
    <font>
      <u/>
      <sz val="11"/>
      <color rgb="FF800080"/>
      <name val="Arial"/>
      <charset val="0"/>
      <scheme val="minor"/>
    </font>
    <font>
      <b/>
      <sz val="18"/>
      <color theme="1"/>
      <name val="Times New Roman"/>
      <charset val="1"/>
    </font>
    <font>
      <b/>
      <sz val="24"/>
      <color rgb="FF4A86E8"/>
      <name val="Times New Roman"/>
      <charset val="1"/>
    </font>
    <font>
      <b/>
      <sz val="14"/>
      <color rgb="FF363636"/>
      <name val="Times New Roman"/>
      <charset val="1"/>
    </font>
    <font>
      <i/>
      <sz val="12"/>
      <color theme="1"/>
      <name val="Times New Roman"/>
      <charset val="1"/>
    </font>
    <font>
      <sz val="13"/>
      <color theme="1"/>
      <name val="Times New Roman"/>
      <charset val="1"/>
    </font>
    <font>
      <sz val="12"/>
      <color theme="1"/>
      <name val="Times New Roman"/>
      <charset val="1"/>
    </font>
    <font>
      <u/>
      <sz val="12"/>
      <color rgb="FF000000"/>
      <name val="Times New Roman"/>
      <charset val="1"/>
    </font>
    <font>
      <sz val="10"/>
      <color rgb="FF2C2C4D"/>
      <name val="Times New Roman"/>
      <charset val="1"/>
    </font>
    <font>
      <sz val="10"/>
      <color theme="1"/>
      <name val="Arial"/>
      <charset val="1"/>
    </font>
    <font>
      <b/>
      <sz val="14"/>
      <color rgb="FF993300"/>
      <name val="Times New Roman"/>
      <charset val="1"/>
    </font>
    <font>
      <b/>
      <sz val="12"/>
      <color rgb="FFFFFFFF"/>
      <name val="Times New Roman"/>
      <charset val="1"/>
    </font>
    <font>
      <sz val="12"/>
      <color rgb="FF000000"/>
      <name val="Times New Roman"/>
      <charset val="1"/>
    </font>
    <font>
      <sz val="11"/>
      <color theme="1"/>
      <name val="Times New Roman"/>
      <charset val="1"/>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8">
    <fill>
      <patternFill patternType="none"/>
    </fill>
    <fill>
      <patternFill patternType="gray125"/>
    </fill>
    <fill>
      <patternFill patternType="solid">
        <fgColor rgb="FFFFFF00"/>
        <bgColor rgb="FFFFD966"/>
      </patternFill>
    </fill>
    <fill>
      <patternFill patternType="solid">
        <fgColor rgb="FFFFFFFF"/>
        <bgColor rgb="FFEFEFEF"/>
      </patternFill>
    </fill>
    <fill>
      <patternFill patternType="solid">
        <fgColor rgb="FFA4C2F4"/>
        <bgColor rgb="FF9FC5E8"/>
      </patternFill>
    </fill>
    <fill>
      <patternFill patternType="solid">
        <fgColor rgb="FF000080"/>
        <bgColor rgb="FF1A1A1A"/>
      </patternFill>
    </fill>
    <fill>
      <patternFill patternType="solid">
        <fgColor rgb="FFECECEC"/>
        <bgColor rgb="FFEFEFEF"/>
      </patternFill>
    </fill>
    <fill>
      <patternFill patternType="solid">
        <fgColor rgb="FFFFFFFF"/>
        <bgColor indexed="64"/>
      </patternFill>
    </fill>
    <fill>
      <patternFill patternType="solid">
        <fgColor rgb="FFECECEC"/>
        <bgColor indexed="64"/>
      </patternFill>
    </fill>
    <fill>
      <patternFill patternType="solid">
        <fgColor rgb="FFD8D8D8"/>
        <bgColor rgb="FFD9D9D9"/>
      </patternFill>
    </fill>
    <fill>
      <patternFill patternType="solid">
        <fgColor rgb="FFD9D9D9"/>
        <bgColor rgb="FFD8D8D8"/>
      </patternFill>
    </fill>
    <fill>
      <patternFill patternType="solid">
        <fgColor rgb="FF2850A2"/>
        <bgColor rgb="FF1155CC"/>
      </patternFill>
    </fill>
    <fill>
      <patternFill patternType="solid">
        <fgColor rgb="FF7968A6"/>
        <bgColor rgb="FF666666"/>
      </patternFill>
    </fill>
    <fill>
      <patternFill patternType="solid">
        <fgColor rgb="FF2850A2"/>
        <bgColor indexed="64"/>
      </patternFill>
    </fill>
    <fill>
      <patternFill patternType="solid">
        <fgColor rgb="FFFFFF00"/>
        <bgColor indexed="64"/>
      </patternFill>
    </fill>
    <fill>
      <patternFill patternType="solid">
        <fgColor rgb="FFF6B26B"/>
        <bgColor indexed="64"/>
      </patternFill>
    </fill>
    <fill>
      <patternFill patternType="solid">
        <fgColor rgb="FF4285F4"/>
        <bgColor rgb="FF4A86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hair">
        <color auto="1"/>
      </left>
      <right/>
      <top style="hair">
        <color auto="1"/>
      </top>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theme="1"/>
      </left>
      <right style="thin">
        <color theme="1"/>
      </right>
      <top/>
      <bottom style="thin">
        <color theme="1"/>
      </bottom>
      <diagonal/>
    </border>
    <border>
      <left style="thin">
        <color auto="1"/>
      </left>
      <right style="thin">
        <color auto="1"/>
      </right>
      <top style="thin">
        <color auto="1"/>
      </top>
      <bottom/>
      <diagonal/>
    </border>
    <border>
      <left/>
      <right style="thin">
        <color auto="1"/>
      </right>
      <top/>
      <bottom style="thin">
        <color auto="1"/>
      </bottom>
      <diagonal/>
    </border>
    <border>
      <left/>
      <right style="hair">
        <color auto="1"/>
      </right>
      <top style="hair">
        <color auto="1"/>
      </top>
      <bottom style="hair">
        <color auto="1"/>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right style="thick">
        <color rgb="FFFFFFFF"/>
      </right>
      <top style="thin">
        <color rgb="FFFFFFFF"/>
      </top>
      <bottom/>
      <diagonal/>
    </border>
    <border>
      <left/>
      <right style="thick">
        <color rgb="FFFFFFFF"/>
      </right>
      <top style="thin">
        <color rgb="FFFFFFFF"/>
      </top>
      <bottom style="thick">
        <color rgb="FFFFFFFF"/>
      </bottom>
      <diagonal/>
    </border>
    <border>
      <left/>
      <right/>
      <top style="hair">
        <color auto="1"/>
      </top>
      <bottom style="hair">
        <color auto="1"/>
      </bottom>
      <diagonal/>
    </border>
    <border>
      <left/>
      <right style="thick">
        <color rgb="FFFFFFFF"/>
      </right>
      <top/>
      <bottom style="thick">
        <color rgb="FFFFFFFF"/>
      </bottom>
      <diagonal/>
    </border>
    <border>
      <left/>
      <right style="thick">
        <color rgb="FFFFFFFF"/>
      </right>
      <top/>
      <bottom style="thin">
        <color rgb="FFFFFFFF"/>
      </bottom>
      <diagonal/>
    </border>
    <border>
      <left/>
      <right/>
      <top/>
      <bottom style="thin">
        <color rgb="FFFFFFFF"/>
      </bottom>
      <diagonal/>
    </border>
    <border>
      <left/>
      <right style="thin">
        <color theme="0"/>
      </right>
      <top/>
      <bottom style="thin">
        <color theme="0"/>
      </bottom>
      <diagonal/>
    </border>
    <border>
      <left style="thin">
        <color rgb="FFFFFFFF"/>
      </left>
      <right style="thin">
        <color rgb="FFFFFFFF"/>
      </right>
      <top/>
      <bottom style="thin">
        <color rgb="FFFFFFFF"/>
      </bottom>
      <diagonal/>
    </border>
    <border>
      <left style="thin">
        <color rgb="FFFFFFFF"/>
      </left>
      <right style="thin">
        <color rgb="FFFFFFFF"/>
      </right>
      <top/>
      <bottom style="thick">
        <color rgb="FFDFA5B0"/>
      </bottom>
      <diagonal/>
    </border>
    <border>
      <left/>
      <right style="thin">
        <color rgb="FFFFFFFF"/>
      </right>
      <top/>
      <bottom style="thick">
        <color rgb="FFDFA5B0"/>
      </bottom>
      <diagonal/>
    </border>
    <border>
      <left/>
      <right style="thin">
        <color rgb="FFFFFFF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xf numFmtId="44" fontId="14" fillId="0" borderId="0"/>
    <xf numFmtId="9" fontId="14" fillId="0" borderId="0"/>
    <xf numFmtId="41" fontId="14" fillId="0" borderId="0"/>
    <xf numFmtId="42" fontId="14" fillId="0" borderId="0"/>
    <xf numFmtId="0" fontId="13" fillId="0" borderId="0">
      <alignment vertical="center"/>
    </xf>
    <xf numFmtId="0" fontId="16" fillId="0" borderId="0">
      <alignment vertical="center"/>
    </xf>
    <xf numFmtId="0" fontId="30" fillId="17" borderId="30">
      <alignment vertical="center"/>
    </xf>
    <xf numFmtId="0" fontId="31" fillId="0" borderId="0">
      <alignment vertical="center"/>
    </xf>
    <xf numFmtId="0" fontId="32" fillId="0" borderId="0">
      <alignment vertical="center"/>
    </xf>
    <xf numFmtId="0" fontId="33" fillId="0" borderId="0">
      <alignment vertical="center"/>
    </xf>
    <xf numFmtId="0" fontId="34" fillId="0" borderId="31">
      <alignment vertical="center"/>
    </xf>
    <xf numFmtId="0" fontId="35" fillId="0" borderId="31">
      <alignment vertical="center"/>
    </xf>
    <xf numFmtId="0" fontId="36" fillId="0" borderId="32">
      <alignment vertical="center"/>
    </xf>
    <xf numFmtId="0" fontId="36" fillId="0" borderId="0">
      <alignment vertical="center"/>
    </xf>
    <xf numFmtId="0" fontId="37" fillId="18" borderId="33">
      <alignment vertical="center"/>
    </xf>
    <xf numFmtId="0" fontId="38" fillId="19" borderId="34">
      <alignment vertical="center"/>
    </xf>
    <xf numFmtId="0" fontId="39" fillId="19" borderId="33">
      <alignment vertical="center"/>
    </xf>
    <xf numFmtId="0" fontId="40" fillId="20" borderId="35">
      <alignment vertical="center"/>
    </xf>
    <xf numFmtId="0" fontId="41" fillId="0" borderId="36">
      <alignment vertical="center"/>
    </xf>
    <xf numFmtId="0" fontId="42" fillId="0" borderId="37">
      <alignment vertical="center"/>
    </xf>
    <xf numFmtId="0" fontId="43" fillId="21" borderId="0">
      <alignment vertical="center"/>
    </xf>
    <xf numFmtId="0" fontId="44" fillId="22" borderId="0">
      <alignment vertical="center"/>
    </xf>
    <xf numFmtId="0" fontId="45" fillId="23" borderId="0">
      <alignment vertical="center"/>
    </xf>
    <xf numFmtId="0" fontId="46" fillId="24" borderId="0">
      <alignment vertical="center"/>
    </xf>
    <xf numFmtId="0" fontId="47" fillId="25" borderId="0">
      <alignment vertical="center"/>
    </xf>
    <xf numFmtId="0" fontId="47" fillId="26" borderId="0">
      <alignment vertical="center"/>
    </xf>
    <xf numFmtId="0" fontId="46" fillId="27" borderId="0">
      <alignment vertical="center"/>
    </xf>
    <xf numFmtId="0" fontId="46" fillId="28" borderId="0">
      <alignment vertical="center"/>
    </xf>
    <xf numFmtId="0" fontId="47" fillId="29" borderId="0">
      <alignment vertical="center"/>
    </xf>
    <xf numFmtId="0" fontId="47" fillId="30" borderId="0">
      <alignment vertical="center"/>
    </xf>
    <xf numFmtId="0" fontId="46" fillId="31" borderId="0">
      <alignment vertical="center"/>
    </xf>
    <xf numFmtId="0" fontId="46" fillId="32" borderId="0">
      <alignment vertical="center"/>
    </xf>
    <xf numFmtId="0" fontId="47" fillId="33" borderId="0">
      <alignment vertical="center"/>
    </xf>
    <xf numFmtId="0" fontId="47" fillId="34" borderId="0">
      <alignment vertical="center"/>
    </xf>
    <xf numFmtId="0" fontId="46" fillId="35" borderId="0">
      <alignment vertical="center"/>
    </xf>
    <xf numFmtId="0" fontId="46" fillId="36" borderId="0">
      <alignment vertical="center"/>
    </xf>
    <xf numFmtId="0" fontId="47" fillId="37" borderId="0">
      <alignment vertical="center"/>
    </xf>
    <xf numFmtId="0" fontId="47" fillId="38" borderId="0">
      <alignment vertical="center"/>
    </xf>
    <xf numFmtId="0" fontId="46" fillId="39" borderId="0">
      <alignment vertical="center"/>
    </xf>
    <xf numFmtId="0" fontId="46" fillId="40" borderId="0">
      <alignment vertical="center"/>
    </xf>
    <xf numFmtId="0" fontId="47" fillId="41" borderId="0">
      <alignment vertical="center"/>
    </xf>
    <xf numFmtId="0" fontId="47" fillId="42" borderId="0">
      <alignment vertical="center"/>
    </xf>
    <xf numFmtId="0" fontId="46" fillId="43" borderId="0">
      <alignment vertical="center"/>
    </xf>
    <xf numFmtId="0" fontId="46" fillId="44" borderId="0">
      <alignment vertical="center"/>
    </xf>
    <xf numFmtId="0" fontId="47" fillId="45" borderId="0">
      <alignment vertical="center"/>
    </xf>
    <xf numFmtId="0" fontId="47" fillId="46" borderId="0">
      <alignment vertical="center"/>
    </xf>
    <xf numFmtId="0" fontId="46" fillId="47" borderId="0">
      <alignment vertical="center"/>
    </xf>
  </cellStyleXfs>
  <cellXfs count="102">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xf>
    <xf numFmtId="0" fontId="0" fillId="0" borderId="3" xfId="0" applyBorder="1"/>
    <xf numFmtId="0" fontId="0" fillId="0" borderId="4" xfId="0" applyBorder="1"/>
    <xf numFmtId="0" fontId="1" fillId="0" borderId="5" xfId="0" applyFont="1" applyBorder="1" applyAlignment="1">
      <alignment vertical="center"/>
    </xf>
    <xf numFmtId="0" fontId="1" fillId="0" borderId="2" xfId="0" applyFont="1" applyBorder="1" applyAlignment="1">
      <alignment vertical="center"/>
    </xf>
    <xf numFmtId="0" fontId="3" fillId="3" borderId="0" xfId="0" applyFill="1" applyAlignment="1">
      <alignment horizontal="left"/>
    </xf>
    <xf numFmtId="0" fontId="4" fillId="3" borderId="0" xfId="0" applyFont="1" applyFill="1" applyAlignment="1">
      <alignment vertical="top" wrapText="1"/>
    </xf>
    <xf numFmtId="0" fontId="5" fillId="3" borderId="0" xfId="0" applyFont="1" applyFill="1" applyAlignment="1">
      <alignment vertical="top" wrapText="1"/>
    </xf>
    <xf numFmtId="0" fontId="4" fillId="3" borderId="0" xfId="0" applyFont="1" applyFill="1" applyAlignment="1">
      <alignment vertical="top"/>
    </xf>
    <xf numFmtId="0" fontId="4" fillId="4" borderId="6" xfId="0" applyFont="1" applyFill="1" applyBorder="1" applyAlignment="1">
      <alignment horizontal="center" vertical="top" wrapText="1"/>
    </xf>
    <xf numFmtId="0" fontId="6" fillId="5" borderId="6" xfId="0" applyFont="1" applyFill="1" applyBorder="1" applyAlignment="1">
      <alignment horizontal="center" vertical="top" wrapText="1"/>
    </xf>
    <xf numFmtId="0" fontId="0" fillId="0" borderId="7" xfId="0" applyBorder="1"/>
    <xf numFmtId="0" fontId="0" fillId="0" borderId="8" xfId="0" applyBorder="1"/>
    <xf numFmtId="0" fontId="4" fillId="0" borderId="6" xfId="0" applyFont="1" applyBorder="1" applyAlignment="1">
      <alignment horizontal="center" vertical="top" wrapText="1"/>
    </xf>
    <xf numFmtId="0" fontId="4" fillId="6" borderId="6" xfId="0" applyFont="1" applyFill="1" applyBorder="1" applyAlignment="1">
      <alignment horizontal="center" vertical="top" wrapText="1"/>
    </xf>
    <xf numFmtId="0" fontId="7" fillId="7" borderId="1" xfId="0" applyFont="1" applyFill="1" applyBorder="1" applyAlignment="1">
      <alignment vertical="top" wrapText="1"/>
    </xf>
    <xf numFmtId="0" fontId="8" fillId="8" borderId="0" xfId="0" applyFont="1" applyFill="1" applyAlignment="1">
      <alignment vertical="top"/>
    </xf>
    <xf numFmtId="9" fontId="7" fillId="8" borderId="0" xfId="0" applyNumberFormat="1" applyFont="1" applyFill="1" applyAlignment="1">
      <alignment vertical="top"/>
    </xf>
    <xf numFmtId="0" fontId="0" fillId="0" borderId="1" xfId="0" applyBorder="1"/>
    <xf numFmtId="0" fontId="2" fillId="9" borderId="1" xfId="0" applyFont="1" applyFill="1" applyBorder="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0" borderId="5" xfId="0" applyFont="1" applyBorder="1" applyAlignment="1">
      <alignment vertical="top" wrapText="1"/>
    </xf>
    <xf numFmtId="0" fontId="1" fillId="0" borderId="9" xfId="0" applyFont="1" applyBorder="1" applyAlignment="1">
      <alignment vertical="top" wrapText="1"/>
    </xf>
    <xf numFmtId="0" fontId="9" fillId="11" borderId="6" xfId="0" applyFont="1" applyFill="1" applyBorder="1" applyAlignment="1">
      <alignment horizontal="center" vertical="top" wrapText="1"/>
    </xf>
    <xf numFmtId="0" fontId="10" fillId="11" borderId="6" xfId="0" applyFont="1" applyFill="1" applyBorder="1" applyAlignment="1">
      <alignment horizontal="center" vertical="top" wrapText="1"/>
    </xf>
    <xf numFmtId="0" fontId="10" fillId="12" borderId="6" xfId="0" applyFont="1" applyFill="1" applyBorder="1" applyAlignment="1">
      <alignment horizontal="center" vertical="top" wrapText="1"/>
    </xf>
    <xf numFmtId="0" fontId="11" fillId="13" borderId="1" xfId="0" applyFont="1" applyFill="1" applyBorder="1" applyAlignment="1">
      <alignment horizontal="center" vertical="top" wrapText="1"/>
    </xf>
    <xf numFmtId="0" fontId="12" fillId="13" borderId="10" xfId="0" applyFont="1" applyFill="1" applyBorder="1" applyAlignment="1">
      <alignment horizontal="center" vertical="top" wrapText="1"/>
    </xf>
    <xf numFmtId="0" fontId="10" fillId="12" borderId="11" xfId="0" applyFont="1" applyFill="1" applyBorder="1" applyAlignment="1">
      <alignment horizontal="center" vertical="top" wrapText="1"/>
    </xf>
    <xf numFmtId="0" fontId="0" fillId="0" borderId="12" xfId="0" applyBorder="1"/>
    <xf numFmtId="0" fontId="0" fillId="0" borderId="13" xfId="0" applyBorder="1"/>
    <xf numFmtId="0" fontId="10" fillId="12" borderId="14" xfId="0" applyFont="1" applyFill="1" applyBorder="1" applyAlignment="1">
      <alignment horizontal="center" vertical="top" wrapText="1"/>
    </xf>
    <xf numFmtId="0" fontId="0" fillId="0" borderId="11" xfId="0" applyBorder="1"/>
    <xf numFmtId="0" fontId="0" fillId="0" borderId="15" xfId="0" applyBorder="1"/>
    <xf numFmtId="0" fontId="8" fillId="14" borderId="1" xfId="0" applyFont="1" applyFill="1" applyBorder="1" applyAlignment="1">
      <alignment vertical="top" wrapText="1"/>
    </xf>
    <xf numFmtId="0" fontId="0" fillId="0" borderId="16" xfId="0" applyBorder="1"/>
    <xf numFmtId="0" fontId="8" fillId="15" borderId="1" xfId="0" applyFont="1" applyFill="1" applyBorder="1" applyAlignment="1">
      <alignment vertical="top" wrapText="1"/>
    </xf>
    <xf numFmtId="0" fontId="7" fillId="7" borderId="2" xfId="0" applyFont="1" applyFill="1" applyBorder="1" applyAlignment="1">
      <alignment vertical="top" wrapText="1"/>
    </xf>
    <xf numFmtId="0" fontId="13" fillId="0" borderId="1" xfId="6" applyBorder="1" applyAlignment="1">
      <alignment vertical="center" wrapText="1"/>
    </xf>
    <xf numFmtId="0" fontId="7" fillId="7" borderId="1" xfId="0" applyFont="1" applyFill="1" applyBorder="1" applyAlignment="1">
      <alignment vertical="top" wrapText="1"/>
    </xf>
    <xf numFmtId="0" fontId="13" fillId="0" borderId="1" xfId="6" applyFill="1" applyBorder="1" applyAlignment="1">
      <alignment vertical="center" wrapText="1"/>
    </xf>
    <xf numFmtId="0" fontId="13" fillId="0" borderId="0" xfId="6" applyFill="1">
      <alignment vertical="center"/>
    </xf>
    <xf numFmtId="0" fontId="13" fillId="7" borderId="1" xfId="6" applyFill="1" applyBorder="1" applyAlignment="1">
      <alignment vertical="top" wrapText="1"/>
    </xf>
    <xf numFmtId="0" fontId="14" fillId="7" borderId="1" xfId="0" applyFont="1" applyFill="1" applyBorder="1" applyAlignment="1">
      <alignment vertical="top" wrapText="1"/>
    </xf>
    <xf numFmtId="0" fontId="0" fillId="0" borderId="1" xfId="0" applyBorder="1"/>
    <xf numFmtId="0" fontId="15" fillId="0" borderId="1" xfId="6" applyFont="1" applyFill="1" applyBorder="1" applyAlignment="1">
      <alignment vertical="center" wrapText="1"/>
    </xf>
    <xf numFmtId="0" fontId="16" fillId="7" borderId="1" xfId="6" applyFont="1" applyFill="1" applyBorder="1" applyAlignment="1">
      <alignment vertical="top" wrapText="1"/>
    </xf>
    <xf numFmtId="0" fontId="17" fillId="0" borderId="0" xfId="0" applyFont="1" applyAlignment="1">
      <alignment horizontal="center" vertical="top"/>
    </xf>
    <xf numFmtId="0" fontId="1" fillId="0" borderId="0" xfId="0" applyFont="1" applyAlignment="1">
      <alignment vertical="top"/>
    </xf>
    <xf numFmtId="0" fontId="18" fillId="3" borderId="17" xfId="0" applyFont="1" applyFill="1" applyBorder="1" applyAlignment="1">
      <alignment vertical="top"/>
    </xf>
    <xf numFmtId="0" fontId="1" fillId="3" borderId="18" xfId="0" applyFont="1" applyFill="1" applyBorder="1" applyAlignment="1">
      <alignment vertical="top"/>
    </xf>
    <xf numFmtId="0" fontId="1" fillId="3" borderId="0" xfId="0" applyFont="1" applyFill="1" applyAlignment="1">
      <alignment vertical="top"/>
    </xf>
    <xf numFmtId="0" fontId="1" fillId="3" borderId="19" xfId="0" applyFont="1" applyFill="1" applyBorder="1" applyAlignment="1">
      <alignment vertical="top"/>
    </xf>
    <xf numFmtId="0" fontId="1" fillId="0" borderId="20" xfId="0" applyFont="1" applyBorder="1" applyAlignment="1">
      <alignment vertical="top"/>
    </xf>
    <xf numFmtId="0" fontId="19" fillId="3" borderId="1" xfId="0" applyFont="1" applyFill="1" applyBorder="1" applyAlignment="1">
      <alignment vertical="top"/>
    </xf>
    <xf numFmtId="0" fontId="0" fillId="0" borderId="21" xfId="0" applyBorder="1"/>
    <xf numFmtId="0" fontId="1" fillId="0" borderId="22" xfId="0" applyFont="1" applyBorder="1" applyAlignment="1">
      <alignment vertical="top"/>
    </xf>
    <xf numFmtId="0" fontId="20" fillId="0" borderId="2" xfId="0" applyFont="1" applyBorder="1" applyAlignment="1">
      <alignment vertical="top"/>
    </xf>
    <xf numFmtId="176" fontId="21" fillId="0" borderId="1" xfId="0" applyNumberFormat="1" applyFont="1" applyBorder="1" applyAlignment="1">
      <alignment horizontal="left" vertical="top"/>
    </xf>
    <xf numFmtId="0" fontId="22" fillId="0" borderId="1" xfId="0" applyFont="1" applyBorder="1" applyAlignment="1">
      <alignment vertical="top"/>
    </xf>
    <xf numFmtId="0" fontId="1" fillId="0" borderId="23" xfId="0" applyFont="1" applyBorder="1" applyAlignment="1">
      <alignment vertical="top"/>
    </xf>
    <xf numFmtId="0" fontId="1" fillId="0" borderId="24" xfId="0" applyFont="1" applyBorder="1" applyAlignment="1">
      <alignment vertical="top"/>
    </xf>
    <xf numFmtId="0" fontId="1" fillId="0" borderId="1" xfId="0" applyFont="1" applyBorder="1" applyAlignment="1">
      <alignment vertical="top"/>
    </xf>
    <xf numFmtId="0" fontId="20" fillId="0" borderId="2" xfId="0" applyFont="1" applyBorder="1" applyAlignment="1">
      <alignment vertical="top" wrapText="1"/>
    </xf>
    <xf numFmtId="0" fontId="23" fillId="0" borderId="1" xfId="0" applyFont="1" applyBorder="1" applyAlignment="1">
      <alignment vertical="top"/>
    </xf>
    <xf numFmtId="49" fontId="22" fillId="0" borderId="1" xfId="0" applyNumberFormat="1" applyFont="1" applyBorder="1" applyAlignment="1">
      <alignment vertical="top"/>
    </xf>
    <xf numFmtId="0" fontId="24" fillId="0" borderId="24" xfId="0" applyFont="1" applyBorder="1" applyAlignment="1">
      <alignment vertical="top"/>
    </xf>
    <xf numFmtId="0" fontId="1" fillId="0" borderId="25" xfId="0" applyFont="1" applyBorder="1" applyAlignment="1">
      <alignment vertical="top"/>
    </xf>
    <xf numFmtId="0" fontId="1" fillId="0" borderId="26" xfId="0" applyFont="1" applyBorder="1" applyAlignment="1">
      <alignment vertical="top"/>
    </xf>
    <xf numFmtId="0" fontId="1" fillId="3" borderId="25" xfId="0" applyFont="1" applyFill="1" applyBorder="1" applyAlignment="1">
      <alignment vertical="top"/>
    </xf>
    <xf numFmtId="0" fontId="1" fillId="0" borderId="27" xfId="0" applyFont="1" applyBorder="1" applyAlignment="1">
      <alignment vertical="top"/>
    </xf>
    <xf numFmtId="0" fontId="1" fillId="3" borderId="28" xfId="0" applyFont="1" applyFill="1" applyBorder="1" applyAlignment="1">
      <alignment vertical="top"/>
    </xf>
    <xf numFmtId="0" fontId="25" fillId="0" borderId="0" xfId="0" applyFont="1"/>
    <xf numFmtId="0" fontId="25" fillId="0" borderId="29" xfId="0" applyFont="1" applyBorder="1"/>
    <xf numFmtId="0" fontId="26" fillId="0" borderId="0" xfId="0" applyFont="1"/>
    <xf numFmtId="0" fontId="22" fillId="0" borderId="0" xfId="0" applyFont="1" applyAlignment="1">
      <alignment vertical="top" wrapText="1"/>
    </xf>
    <xf numFmtId="0" fontId="27" fillId="16" borderId="1" xfId="0" applyFont="1" applyFill="1" applyBorder="1" applyAlignment="1">
      <alignment horizontal="center" vertical="top" wrapText="1"/>
    </xf>
    <xf numFmtId="177" fontId="22" fillId="0" borderId="0" xfId="0" applyNumberFormat="1" applyFont="1" applyAlignment="1">
      <alignment vertical="top" wrapText="1"/>
    </xf>
    <xf numFmtId="0" fontId="28" fillId="0" borderId="0" xfId="0" applyFont="1" applyAlignment="1">
      <alignment vertical="top" wrapText="1"/>
    </xf>
    <xf numFmtId="178" fontId="21" fillId="0" borderId="1" xfId="0" applyNumberFormat="1" applyFont="1" applyBorder="1" applyAlignment="1">
      <alignment horizontal="center"/>
    </xf>
    <xf numFmtId="0" fontId="21" fillId="0" borderId="1" xfId="0" applyFont="1" applyBorder="1" applyAlignment="1">
      <alignment horizontal="center"/>
    </xf>
    <xf numFmtId="0" fontId="21" fillId="0" borderId="1" xfId="0" applyFont="1" applyBorder="1"/>
    <xf numFmtId="177" fontId="25" fillId="0" borderId="0" xfId="0" applyNumberFormat="1" applyFont="1"/>
    <xf numFmtId="0" fontId="29" fillId="0" borderId="0" xfId="0" applyFont="1" applyAlignment="1">
      <alignment vertical="top"/>
    </xf>
    <xf numFmtId="178" fontId="25" fillId="0" borderId="1" xfId="0" applyNumberFormat="1" applyFont="1" applyBorder="1"/>
    <xf numFmtId="49" fontId="25" fillId="0" borderId="1" xfId="0" applyNumberFormat="1" applyFont="1" applyBorder="1"/>
    <xf numFmtId="0" fontId="25" fillId="0" borderId="1" xfId="0" applyFont="1" applyBorder="1"/>
    <xf numFmtId="178" fontId="25" fillId="3" borderId="0" xfId="0" applyNumberFormat="1" applyFont="1" applyFill="1"/>
    <xf numFmtId="49" fontId="25" fillId="3" borderId="0" xfId="0" applyNumberFormat="1" applyFont="1" applyFill="1"/>
    <xf numFmtId="0" fontId="25" fillId="3" borderId="0" xfId="0" applyFont="1" applyFill="1"/>
    <xf numFmtId="0" fontId="7" fillId="7" borderId="1" xfId="0" applyFont="1" applyFill="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b val="1"/>
        <color rgb="FF000000"/>
      </font>
      <fill>
        <patternFill patternType="solid">
          <bgColor rgb="FFF1C232"/>
        </patternFill>
      </fill>
    </dxf>
    <dxf>
      <font>
        <b val="1"/>
        <color rgb="FF000000"/>
      </font>
      <fill>
        <patternFill patternType="solid">
          <bgColor rgb="FF999999"/>
        </patternFill>
      </fill>
    </dxf>
    <dxf>
      <font>
        <b val="1"/>
        <color rgb="FF000000"/>
      </font>
      <fill>
        <patternFill patternType="solid">
          <bgColor rgb="FFBF9000"/>
        </patternFill>
      </fill>
    </dxf>
    <dxf>
      <font>
        <b val="1"/>
        <color rgb="FF000000"/>
      </font>
      <fill>
        <patternFill patternType="solid">
          <bgColor rgb="FFFF9900"/>
        </patternFill>
      </fill>
    </dxf>
    <dxf>
      <font>
        <color rgb="FF000000"/>
      </font>
      <fill>
        <patternFill patternType="solid">
          <bgColor rgb="FF00FF00"/>
        </patternFill>
      </fill>
    </dxf>
    <dxf>
      <font>
        <b val="1"/>
        <color rgb="FF000000"/>
      </font>
      <fill>
        <patternFill patternType="solid">
          <bgColor rgb="FFFF0000"/>
        </patternFill>
      </fill>
    </dxf>
    <dxf>
      <font>
        <b val="1"/>
        <color rgb="FF000000"/>
      </font>
      <fill>
        <patternFill patternType="solid">
          <bgColor rgb="FF9FC5E8"/>
        </patternFill>
      </fill>
    </dxf>
    <dxf>
      <font>
        <b val="1"/>
        <color rgb="FF000000"/>
      </font>
      <fill>
        <patternFill patternType="solid">
          <bgColor rgb="FFB6D7A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D9D9D9"/>
      <rgbColor rgb="00006100"/>
      <rgbColor rgb="00000080"/>
      <rgbColor rgb="00BF9000"/>
      <rgbColor rgb="009900FF"/>
      <rgbColor rgb="004A86E8"/>
      <rgbColor rgb="00B7B7B7"/>
      <rgbColor rgb="00666666"/>
      <rgbColor rgb="00A4C2F4"/>
      <rgbColor rgb="00CCCCCC"/>
      <rgbColor rgb="00FEF1CC"/>
      <rgbColor rgb="00CFE2F3"/>
      <rgbColor rgb="00B7E1CD"/>
      <rgbColor rgb="00F6B26B"/>
      <rgbColor rgb="001155CC"/>
      <rgbColor rgb="00C9DAF8"/>
      <rgbColor rgb="00FCE5CD"/>
      <rgbColor rgb="00D8D8D8"/>
      <rgbColor rgb="00FFD966"/>
      <rgbColor rgb="0093C47D"/>
      <rgbColor rgb="00B6D7A8"/>
      <rgbColor rgb="00D0E0E3"/>
      <rgbColor rgb="0076A5AF"/>
      <rgbColor rgb="00ECECEC"/>
      <rgbColor rgb="001DA1F2"/>
      <rgbColor rgb="00EFEFEF"/>
      <rgbColor rgb="00C6EFCE"/>
      <rgbColor rgb="00FFE599"/>
      <rgbColor rgb="009FC5E8"/>
      <rgbColor rgb="00DFA5B0"/>
      <rgbColor rgb="00F7B4AE"/>
      <rgbColor rgb="00F9CB9C"/>
      <rgbColor rgb="004285F4"/>
      <rgbColor rgb="007AD592"/>
      <rgbColor rgb="0092D050"/>
      <rgbColor rgb="00F4C225"/>
      <rgbColor rgb="00FF9900"/>
      <rgbColor rgb="00FF9700"/>
      <rgbColor rgb="007968A6"/>
      <rgbColor rgb="00999999"/>
      <rgbColor rgb="0017373C"/>
      <rgbColor rgb="0064A84F"/>
      <rgbColor rgb="002C2C4D"/>
      <rgbColor rgb="001A1A1A"/>
      <rgbColor rgb="00CD3707"/>
      <rgbColor rgb="00FFC499"/>
      <rgbColor rgb="002850A2"/>
      <rgbColor rgb="003636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prnt.sc/LCN7MRhL8HTb&#10;" TargetMode="External"/><Relationship Id="rId8" Type="http://schemas.openxmlformats.org/officeDocument/2006/relationships/hyperlink" Target="https://prnt.sc/IurzZYQQPPFi" TargetMode="External"/><Relationship Id="rId7" Type="http://schemas.openxmlformats.org/officeDocument/2006/relationships/hyperlink" Target="https://prnt.sc/SICoYb6EiTwA" TargetMode="External"/><Relationship Id="rId6" Type="http://schemas.openxmlformats.org/officeDocument/2006/relationships/hyperlink" Target="https://prnt.sc/yaS7bBFuAwcG" TargetMode="External"/><Relationship Id="rId5" Type="http://schemas.openxmlformats.org/officeDocument/2006/relationships/hyperlink" Target="https://prnt.sc/vmPPNZ1zhMMJ" TargetMode="External"/><Relationship Id="rId4" Type="http://schemas.openxmlformats.org/officeDocument/2006/relationships/hyperlink" Target="https://prnt.sc/Nh6rHFsStoSx" TargetMode="External"/><Relationship Id="rId3" Type="http://schemas.openxmlformats.org/officeDocument/2006/relationships/hyperlink" Target="https://prnt.sc/CR4IMkxQ-cM5" TargetMode="External"/><Relationship Id="rId2" Type="http://schemas.openxmlformats.org/officeDocument/2006/relationships/hyperlink" Target="https://jiranew.codeinet.com/browse/PAR-3182" TargetMode="External"/><Relationship Id="rId10" Type="http://schemas.openxmlformats.org/officeDocument/2006/relationships/hyperlink" Target="https://prnt.sc/EtQWOwYveFyO" TargetMode="External"/><Relationship Id="rId1" Type="http://schemas.openxmlformats.org/officeDocument/2006/relationships/hyperlink" Target="https://prnt.sc/Vu8070iZBVm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00"/>
  <sheetViews>
    <sheetView showGridLines="0" workbookViewId="0">
      <selection activeCell="A1" sqref="A1"/>
    </sheetView>
  </sheetViews>
  <sheetFormatPr defaultColWidth="12.6285714285714" defaultRowHeight="12.75"/>
  <cols>
    <col min="1" max="1" width="4.62857142857143" customWidth="1"/>
    <col min="2" max="2" width="17.1333333333333" customWidth="1"/>
    <col min="3" max="3" width="17.8761904761905" customWidth="1"/>
    <col min="4" max="4" width="62.8761904761905" customWidth="1"/>
    <col min="5" max="5" width="16.8857142857143" customWidth="1"/>
  </cols>
  <sheetData>
    <row r="1" ht="16.5" customHeight="1" spans="1:25">
      <c r="A1" s="59"/>
      <c r="B1" s="59"/>
      <c r="C1" s="59"/>
      <c r="D1" s="59"/>
      <c r="E1" s="60"/>
      <c r="F1" s="60"/>
      <c r="G1" s="60"/>
      <c r="H1" s="60"/>
      <c r="I1" s="60"/>
      <c r="J1" s="60"/>
      <c r="K1" s="60"/>
      <c r="L1" s="60"/>
      <c r="M1" s="60"/>
      <c r="N1" s="60"/>
      <c r="O1" s="60"/>
      <c r="P1" s="60"/>
      <c r="Q1" s="60"/>
      <c r="R1" s="60"/>
      <c r="S1" s="60"/>
      <c r="T1" s="60"/>
      <c r="U1" s="60"/>
      <c r="V1" s="60"/>
      <c r="W1" s="60"/>
      <c r="X1" s="60"/>
      <c r="Y1" s="60"/>
    </row>
    <row r="2" ht="15.75" customHeight="1" spans="1:25">
      <c r="A2" s="60"/>
      <c r="B2" s="61"/>
      <c r="C2" s="62"/>
      <c r="D2" s="63"/>
      <c r="E2" s="60"/>
      <c r="F2" s="60"/>
      <c r="G2" s="60"/>
      <c r="H2" s="60"/>
      <c r="I2" s="60"/>
      <c r="J2" s="60"/>
      <c r="K2" s="60"/>
      <c r="L2" s="60"/>
      <c r="M2" s="60"/>
      <c r="N2" s="60"/>
      <c r="O2" s="60"/>
      <c r="P2" s="60"/>
      <c r="Q2" s="60"/>
      <c r="R2" s="60"/>
      <c r="S2" s="60"/>
      <c r="T2" s="60"/>
      <c r="U2" s="60"/>
      <c r="V2" s="60"/>
      <c r="W2" s="60"/>
      <c r="X2" s="60"/>
      <c r="Y2" s="60"/>
    </row>
    <row r="3" ht="16.5" customHeight="1" spans="1:25">
      <c r="A3" s="60"/>
      <c r="B3" s="60"/>
      <c r="C3" s="60"/>
      <c r="D3" s="64"/>
      <c r="E3" s="65"/>
      <c r="F3" s="65"/>
      <c r="G3" s="60"/>
      <c r="H3" s="60"/>
      <c r="I3" s="60"/>
      <c r="J3" s="60"/>
      <c r="K3" s="60"/>
      <c r="L3" s="60"/>
      <c r="M3" s="60"/>
      <c r="N3" s="60"/>
      <c r="O3" s="60"/>
      <c r="P3" s="60"/>
      <c r="Q3" s="60"/>
      <c r="R3" s="60"/>
      <c r="S3" s="60"/>
      <c r="T3" s="60"/>
      <c r="U3" s="60"/>
      <c r="V3" s="60"/>
      <c r="W3" s="60"/>
      <c r="X3" s="60"/>
      <c r="Y3" s="60"/>
    </row>
    <row r="4" ht="15.75" customHeight="1" spans="1:25">
      <c r="A4" s="60"/>
      <c r="B4" s="66" t="s">
        <v>0</v>
      </c>
      <c r="C4" s="67"/>
      <c r="D4" s="47"/>
      <c r="E4" s="68"/>
      <c r="F4" s="68"/>
      <c r="G4" s="60"/>
      <c r="H4" s="60"/>
      <c r="I4" s="60"/>
      <c r="J4" s="60"/>
      <c r="K4" s="60"/>
      <c r="L4" s="60"/>
      <c r="M4" s="60"/>
      <c r="N4" s="60"/>
      <c r="O4" s="60"/>
      <c r="P4" s="60"/>
      <c r="Q4" s="60"/>
      <c r="R4" s="60"/>
      <c r="S4" s="60"/>
      <c r="T4" s="60"/>
      <c r="U4" s="60"/>
      <c r="V4" s="60"/>
      <c r="W4" s="60"/>
      <c r="X4" s="60"/>
      <c r="Y4" s="60"/>
    </row>
    <row r="5" ht="16.5" customHeight="1" spans="1:25">
      <c r="A5" s="60"/>
      <c r="B5" s="69" t="s">
        <v>1</v>
      </c>
      <c r="C5" s="70"/>
      <c r="D5" s="47"/>
      <c r="E5" s="68"/>
      <c r="F5" s="68"/>
      <c r="G5" s="60"/>
      <c r="H5" s="60"/>
      <c r="I5" s="60"/>
      <c r="J5" s="60"/>
      <c r="K5" s="60"/>
      <c r="L5" s="60"/>
      <c r="M5" s="60"/>
      <c r="N5" s="60"/>
      <c r="O5" s="60"/>
      <c r="P5" s="60"/>
      <c r="Q5" s="60"/>
      <c r="R5" s="60"/>
      <c r="S5" s="60"/>
      <c r="T5" s="60"/>
      <c r="U5" s="60"/>
      <c r="V5" s="60"/>
      <c r="W5" s="60"/>
      <c r="X5" s="60"/>
      <c r="Y5" s="60"/>
    </row>
    <row r="6" ht="16.5" customHeight="1" spans="1:25">
      <c r="A6" s="60"/>
      <c r="B6" s="69" t="s">
        <v>2</v>
      </c>
      <c r="C6" s="71" t="s">
        <v>3</v>
      </c>
      <c r="D6" s="47"/>
      <c r="E6" s="72"/>
      <c r="F6" s="72"/>
      <c r="G6" s="60"/>
      <c r="H6" s="60"/>
      <c r="I6" s="60"/>
      <c r="J6" s="60"/>
      <c r="K6" s="60"/>
      <c r="L6" s="60"/>
      <c r="M6" s="60"/>
      <c r="N6" s="60"/>
      <c r="O6" s="60"/>
      <c r="P6" s="60"/>
      <c r="Q6" s="60"/>
      <c r="R6" s="60"/>
      <c r="S6" s="60"/>
      <c r="T6" s="60"/>
      <c r="U6" s="60"/>
      <c r="V6" s="60"/>
      <c r="W6" s="60"/>
      <c r="X6" s="60"/>
      <c r="Y6" s="60"/>
    </row>
    <row r="7" ht="16.5" customHeight="1" spans="1:25">
      <c r="A7" s="60"/>
      <c r="B7" s="69"/>
      <c r="C7" s="71"/>
      <c r="D7" s="47"/>
      <c r="E7" s="73"/>
      <c r="F7" s="73"/>
      <c r="G7" s="60"/>
      <c r="H7" s="60"/>
      <c r="I7" s="60"/>
      <c r="J7" s="60"/>
      <c r="K7" s="60"/>
      <c r="L7" s="60"/>
      <c r="M7" s="60"/>
      <c r="N7" s="60"/>
      <c r="O7" s="60"/>
      <c r="P7" s="60"/>
      <c r="Q7" s="60"/>
      <c r="R7" s="60"/>
      <c r="S7" s="60"/>
      <c r="T7" s="60"/>
      <c r="U7" s="60"/>
      <c r="V7" s="60"/>
      <c r="W7" s="60"/>
      <c r="X7" s="60"/>
      <c r="Y7" s="60"/>
    </row>
    <row r="8" ht="16.5" customHeight="1" spans="1:25">
      <c r="A8" s="60"/>
      <c r="B8" s="69"/>
      <c r="C8" s="71"/>
      <c r="D8" s="74"/>
      <c r="E8" s="73"/>
      <c r="F8" s="73"/>
      <c r="G8" s="60"/>
      <c r="H8" s="60"/>
      <c r="I8" s="60"/>
      <c r="J8" s="60"/>
      <c r="K8" s="60"/>
      <c r="L8" s="60"/>
      <c r="M8" s="60"/>
      <c r="N8" s="60"/>
      <c r="O8" s="60"/>
      <c r="P8" s="60"/>
      <c r="Q8" s="60"/>
      <c r="R8" s="60"/>
      <c r="S8" s="60"/>
      <c r="T8" s="60"/>
      <c r="U8" s="60"/>
      <c r="V8" s="60"/>
      <c r="W8" s="60"/>
      <c r="X8" s="60"/>
      <c r="Y8" s="60"/>
    </row>
    <row r="9" ht="16.5" customHeight="1" spans="1:25">
      <c r="A9" s="60"/>
      <c r="B9" s="75" t="s">
        <v>4</v>
      </c>
      <c r="C9" s="76" t="s">
        <v>5</v>
      </c>
      <c r="D9" s="74"/>
      <c r="E9" s="73"/>
      <c r="F9" s="73"/>
      <c r="G9" s="60"/>
      <c r="H9" s="60"/>
      <c r="I9" s="60"/>
      <c r="J9" s="60"/>
      <c r="K9" s="60"/>
      <c r="L9" s="60"/>
      <c r="M9" s="60"/>
      <c r="N9" s="60"/>
      <c r="O9" s="60"/>
      <c r="P9" s="60"/>
      <c r="Q9" s="60"/>
      <c r="R9" s="60"/>
      <c r="S9" s="60"/>
      <c r="T9" s="60"/>
      <c r="U9" s="60"/>
      <c r="V9" s="60"/>
      <c r="W9" s="60"/>
      <c r="X9" s="60"/>
      <c r="Y9" s="60"/>
    </row>
    <row r="10" ht="16.5" customHeight="1" spans="1:25">
      <c r="A10" s="60"/>
      <c r="B10" s="69"/>
      <c r="C10" s="77"/>
      <c r="D10" s="74"/>
      <c r="E10" s="73"/>
      <c r="F10" s="78"/>
      <c r="G10" s="60"/>
      <c r="H10" s="60"/>
      <c r="I10" s="60"/>
      <c r="J10" s="60"/>
      <c r="K10" s="60"/>
      <c r="L10" s="60"/>
      <c r="M10" s="60"/>
      <c r="N10" s="60"/>
      <c r="O10" s="60"/>
      <c r="P10" s="60"/>
      <c r="Q10" s="60"/>
      <c r="R10" s="60"/>
      <c r="S10" s="60"/>
      <c r="T10" s="60"/>
      <c r="U10" s="60"/>
      <c r="V10" s="60"/>
      <c r="W10" s="60"/>
      <c r="X10" s="60"/>
      <c r="Y10" s="60"/>
    </row>
    <row r="11" ht="16.5" customHeight="1" spans="1:25">
      <c r="A11" s="60"/>
      <c r="B11" s="69"/>
      <c r="C11" s="77"/>
      <c r="D11" s="74"/>
      <c r="E11" s="73"/>
      <c r="F11" s="73"/>
      <c r="G11" s="60"/>
      <c r="H11" s="60"/>
      <c r="I11" s="60"/>
      <c r="J11" s="60"/>
      <c r="K11" s="60"/>
      <c r="L11" s="60"/>
      <c r="M11" s="60"/>
      <c r="N11" s="60"/>
      <c r="O11" s="60"/>
      <c r="P11" s="60"/>
      <c r="Q11" s="60"/>
      <c r="R11" s="60"/>
      <c r="S11" s="60"/>
      <c r="T11" s="60"/>
      <c r="U11" s="60"/>
      <c r="V11" s="60"/>
      <c r="W11" s="60"/>
      <c r="X11" s="60"/>
      <c r="Y11" s="60"/>
    </row>
    <row r="12" ht="16.5" customHeight="1" spans="1:25">
      <c r="A12" s="60"/>
      <c r="B12" s="69"/>
      <c r="C12" s="71"/>
      <c r="D12" s="74"/>
      <c r="E12" s="73"/>
      <c r="F12" s="73"/>
      <c r="G12" s="60"/>
      <c r="H12" s="60"/>
      <c r="I12" s="60"/>
      <c r="J12" s="60"/>
      <c r="K12" s="60"/>
      <c r="L12" s="60"/>
      <c r="M12" s="60"/>
      <c r="N12" s="60"/>
      <c r="O12" s="60"/>
      <c r="P12" s="60"/>
      <c r="Q12" s="60"/>
      <c r="R12" s="60"/>
      <c r="S12" s="60"/>
      <c r="T12" s="60"/>
      <c r="U12" s="60"/>
      <c r="V12" s="60"/>
      <c r="W12" s="60"/>
      <c r="X12" s="60"/>
      <c r="Y12" s="60"/>
    </row>
    <row r="13" ht="16.5" customHeight="1" spans="1:25">
      <c r="A13" s="60"/>
      <c r="B13" s="69" t="s">
        <v>6</v>
      </c>
      <c r="C13" s="71"/>
      <c r="D13" s="47"/>
      <c r="E13" s="79"/>
      <c r="F13" s="79"/>
      <c r="G13" s="60"/>
      <c r="H13" s="60"/>
      <c r="I13" s="60"/>
      <c r="J13" s="60"/>
      <c r="K13" s="60"/>
      <c r="L13" s="60"/>
      <c r="M13" s="60"/>
      <c r="N13" s="60"/>
      <c r="O13" s="60"/>
      <c r="P13" s="60"/>
      <c r="Q13" s="60"/>
      <c r="R13" s="60"/>
      <c r="S13" s="60"/>
      <c r="T13" s="60"/>
      <c r="U13" s="60"/>
      <c r="V13" s="60"/>
      <c r="W13" s="60"/>
      <c r="X13" s="60"/>
      <c r="Y13" s="60"/>
    </row>
    <row r="14" ht="16.5" customHeight="1" spans="1:25">
      <c r="A14" s="60"/>
      <c r="B14" s="80"/>
      <c r="C14" s="79"/>
      <c r="D14" s="79"/>
      <c r="E14" s="79"/>
      <c r="F14" s="79"/>
      <c r="G14" s="60"/>
      <c r="H14" s="60"/>
      <c r="I14" s="60"/>
      <c r="J14" s="60"/>
      <c r="K14" s="60"/>
      <c r="L14" s="60"/>
      <c r="M14" s="60"/>
      <c r="N14" s="60"/>
      <c r="O14" s="60"/>
      <c r="P14" s="60"/>
      <c r="Q14" s="60"/>
      <c r="R14" s="60"/>
      <c r="S14" s="60"/>
      <c r="T14" s="60"/>
      <c r="U14" s="60"/>
      <c r="V14" s="60"/>
      <c r="W14" s="60"/>
      <c r="X14" s="60"/>
      <c r="Y14" s="60"/>
    </row>
    <row r="15" ht="16.5" customHeight="1" spans="1:25">
      <c r="A15" s="60"/>
      <c r="B15" s="80"/>
      <c r="C15" s="79"/>
      <c r="D15" s="79"/>
      <c r="E15" s="79"/>
      <c r="F15" s="81"/>
      <c r="G15" s="60"/>
      <c r="H15" s="60"/>
      <c r="I15" s="60"/>
      <c r="J15" s="60"/>
      <c r="K15" s="60"/>
      <c r="L15" s="60"/>
      <c r="M15" s="60"/>
      <c r="N15" s="60"/>
      <c r="O15" s="60"/>
      <c r="P15" s="60"/>
      <c r="Q15" s="60"/>
      <c r="R15" s="60"/>
      <c r="S15" s="60"/>
      <c r="T15" s="60"/>
      <c r="U15" s="60"/>
      <c r="V15" s="60"/>
      <c r="W15" s="60"/>
      <c r="X15" s="60"/>
      <c r="Y15" s="60"/>
    </row>
    <row r="16" ht="16.5" customHeight="1" spans="1:25">
      <c r="A16" s="60"/>
      <c r="B16" s="82"/>
      <c r="C16" s="83"/>
      <c r="D16" s="83"/>
      <c r="E16" s="83"/>
      <c r="F16" s="83"/>
      <c r="G16" s="60"/>
      <c r="H16" s="60"/>
      <c r="I16" s="60"/>
      <c r="J16" s="60"/>
      <c r="K16" s="60"/>
      <c r="L16" s="60"/>
      <c r="M16" s="60"/>
      <c r="N16" s="60"/>
      <c r="O16" s="60"/>
      <c r="P16" s="60"/>
      <c r="Q16" s="60"/>
      <c r="R16" s="60"/>
      <c r="S16" s="60"/>
      <c r="T16" s="60"/>
      <c r="U16" s="60"/>
      <c r="V16" s="60"/>
      <c r="W16" s="60"/>
      <c r="X16" s="60"/>
      <c r="Y16" s="60"/>
    </row>
    <row r="17" ht="16.5" customHeight="1" spans="1:26">
      <c r="A17" s="84"/>
      <c r="B17" s="84"/>
      <c r="C17" s="85"/>
      <c r="D17" s="85"/>
      <c r="E17" s="85"/>
      <c r="F17" s="84"/>
      <c r="G17" s="84"/>
      <c r="H17" s="60"/>
      <c r="I17" s="60"/>
      <c r="J17" s="60"/>
      <c r="K17" s="60"/>
      <c r="L17" s="60"/>
      <c r="M17" s="60"/>
      <c r="N17" s="60"/>
      <c r="O17" s="60"/>
      <c r="P17" s="60"/>
      <c r="Q17" s="60"/>
      <c r="R17" s="60"/>
      <c r="S17" s="60"/>
      <c r="T17" s="60"/>
      <c r="U17" s="60"/>
      <c r="V17" s="60"/>
      <c r="W17" s="60"/>
      <c r="X17" s="60"/>
      <c r="Y17" s="60"/>
    </row>
    <row r="18" ht="16.5" customHeight="1" spans="1:26">
      <c r="A18" s="84"/>
      <c r="B18" s="86" t="s">
        <v>7</v>
      </c>
      <c r="C18" s="84"/>
      <c r="D18" s="84"/>
      <c r="E18" s="84"/>
      <c r="F18" s="84"/>
      <c r="G18" s="84"/>
      <c r="H18" s="60"/>
      <c r="I18" s="60"/>
      <c r="J18" s="60"/>
      <c r="K18" s="60"/>
      <c r="L18" s="60"/>
      <c r="M18" s="60"/>
      <c r="N18" s="60"/>
      <c r="O18" s="60"/>
      <c r="P18" s="60"/>
      <c r="Q18" s="60"/>
      <c r="R18" s="60"/>
      <c r="S18" s="60"/>
      <c r="T18" s="60"/>
      <c r="U18" s="60"/>
      <c r="V18" s="60"/>
      <c r="W18" s="60"/>
      <c r="X18" s="60"/>
      <c r="Y18" s="60"/>
    </row>
    <row r="19" ht="16.5" customHeight="1" spans="1:26">
      <c r="A19" s="84"/>
      <c r="B19" s="84"/>
      <c r="C19" s="84"/>
      <c r="D19" s="84"/>
      <c r="E19" s="84"/>
      <c r="F19" s="84"/>
      <c r="G19" s="84"/>
      <c r="H19" s="60"/>
      <c r="I19" s="60"/>
      <c r="J19" s="60"/>
      <c r="K19" s="60"/>
      <c r="L19" s="60"/>
      <c r="M19" s="60"/>
      <c r="N19" s="60"/>
      <c r="O19" s="60"/>
      <c r="P19" s="60"/>
      <c r="Q19" s="60"/>
      <c r="R19" s="60"/>
      <c r="S19" s="60"/>
      <c r="T19" s="60"/>
      <c r="U19" s="60"/>
      <c r="V19" s="60"/>
      <c r="W19" s="60"/>
      <c r="X19" s="60"/>
      <c r="Y19" s="60"/>
    </row>
    <row r="20" ht="16.5" customHeight="1" spans="1:26">
      <c r="A20" s="87"/>
      <c r="B20" s="88" t="s">
        <v>8</v>
      </c>
      <c r="C20" s="88" t="s">
        <v>9</v>
      </c>
      <c r="D20" s="88" t="s">
        <v>10</v>
      </c>
      <c r="E20" s="88" t="s">
        <v>2</v>
      </c>
      <c r="F20" s="89"/>
      <c r="G20" s="87"/>
      <c r="H20" s="87"/>
      <c r="I20" s="87"/>
      <c r="J20" s="87"/>
      <c r="K20" s="87"/>
      <c r="L20" s="87"/>
      <c r="M20" s="87"/>
      <c r="N20" s="87"/>
      <c r="O20" s="87"/>
      <c r="P20" s="87"/>
      <c r="Q20" s="87"/>
      <c r="R20" s="87"/>
      <c r="S20" s="87"/>
      <c r="T20" s="87"/>
      <c r="U20" s="87"/>
      <c r="V20" s="87"/>
      <c r="W20" s="87"/>
      <c r="X20" s="87"/>
      <c r="Y20" s="87"/>
      <c r="Z20" s="90"/>
    </row>
    <row r="21" ht="16.5" customHeight="1" spans="1:26">
      <c r="A21" s="84"/>
      <c r="B21" s="91"/>
      <c r="C21" s="92"/>
      <c r="D21" s="93"/>
      <c r="E21" s="92"/>
      <c r="F21" s="94"/>
      <c r="G21" s="84"/>
      <c r="H21" s="95"/>
      <c r="I21" s="95"/>
      <c r="J21" s="95"/>
      <c r="K21" s="95"/>
      <c r="L21" s="95"/>
      <c r="M21" s="95"/>
      <c r="N21" s="95"/>
      <c r="O21" s="95"/>
      <c r="P21" s="95"/>
      <c r="Q21" s="95"/>
      <c r="R21" s="95"/>
      <c r="S21" s="95"/>
      <c r="T21" s="95"/>
      <c r="U21" s="95"/>
      <c r="V21" s="95"/>
      <c r="W21" s="95"/>
      <c r="X21" s="95"/>
      <c r="Y21" s="95"/>
    </row>
    <row r="22" ht="16.5" customHeight="1" spans="1:26">
      <c r="A22" s="84"/>
      <c r="B22" s="96"/>
      <c r="C22" s="97"/>
      <c r="D22" s="98"/>
      <c r="E22" s="98"/>
      <c r="F22" s="94"/>
      <c r="G22" s="84"/>
      <c r="H22" s="95"/>
      <c r="I22" s="95"/>
      <c r="J22" s="95"/>
      <c r="K22" s="95"/>
      <c r="L22" s="95"/>
      <c r="M22" s="95"/>
      <c r="N22" s="95"/>
      <c r="O22" s="95"/>
      <c r="P22" s="95"/>
      <c r="Q22" s="95"/>
      <c r="R22" s="95"/>
      <c r="S22" s="95"/>
      <c r="T22" s="95"/>
      <c r="U22" s="95"/>
      <c r="V22" s="95"/>
      <c r="W22" s="95"/>
      <c r="X22" s="95"/>
      <c r="Y22" s="95"/>
    </row>
    <row r="23" ht="16.5" customHeight="1" spans="1:26">
      <c r="A23" s="84"/>
      <c r="B23" s="96"/>
      <c r="C23" s="97"/>
      <c r="D23" s="98"/>
      <c r="E23" s="98"/>
      <c r="F23" s="84"/>
      <c r="G23" s="84"/>
      <c r="H23" s="95"/>
      <c r="I23" s="95"/>
      <c r="J23" s="95"/>
      <c r="K23" s="95"/>
      <c r="L23" s="95"/>
      <c r="M23" s="95"/>
      <c r="N23" s="95"/>
      <c r="O23" s="95"/>
      <c r="P23" s="95"/>
      <c r="Q23" s="95"/>
      <c r="R23" s="95"/>
      <c r="S23" s="95"/>
      <c r="T23" s="95"/>
      <c r="U23" s="95"/>
      <c r="V23" s="95"/>
      <c r="W23" s="95"/>
      <c r="X23" s="95"/>
      <c r="Y23" s="95"/>
    </row>
    <row r="24" ht="16.5" customHeight="1" spans="1:26">
      <c r="A24" s="84"/>
      <c r="B24" s="96"/>
      <c r="C24" s="97"/>
      <c r="D24" s="98"/>
      <c r="E24" s="98"/>
      <c r="F24" s="84"/>
      <c r="G24" s="84"/>
      <c r="H24" s="95"/>
      <c r="I24" s="95"/>
      <c r="J24" s="95"/>
      <c r="K24" s="95"/>
      <c r="L24" s="95"/>
      <c r="M24" s="95"/>
      <c r="N24" s="95"/>
      <c r="O24" s="95"/>
      <c r="P24" s="95"/>
      <c r="Q24" s="95"/>
      <c r="R24" s="95"/>
      <c r="S24" s="95"/>
      <c r="T24" s="95"/>
      <c r="U24" s="95"/>
      <c r="V24" s="95"/>
      <c r="W24" s="95"/>
      <c r="X24" s="95"/>
      <c r="Y24" s="95"/>
    </row>
    <row r="25" ht="16.5" customHeight="1" spans="1:26">
      <c r="A25" s="84"/>
      <c r="B25" s="99"/>
      <c r="C25" s="100"/>
      <c r="D25" s="101"/>
      <c r="E25" s="84"/>
      <c r="F25" s="84"/>
      <c r="G25" s="84"/>
      <c r="H25" s="95"/>
      <c r="I25" s="95"/>
      <c r="J25" s="95"/>
      <c r="K25" s="95"/>
      <c r="L25" s="95"/>
      <c r="M25" s="95"/>
      <c r="N25" s="95"/>
      <c r="O25" s="95"/>
      <c r="P25" s="95"/>
      <c r="Q25" s="95"/>
      <c r="R25" s="95"/>
      <c r="S25" s="95"/>
      <c r="T25" s="95"/>
      <c r="U25" s="95"/>
      <c r="V25" s="95"/>
      <c r="W25" s="95"/>
      <c r="X25" s="95"/>
      <c r="Y25" s="95"/>
    </row>
    <row r="26" ht="16.5" customHeight="1" spans="1:26">
      <c r="A26" s="84"/>
      <c r="B26" s="99"/>
      <c r="C26" s="100"/>
      <c r="D26" s="101"/>
      <c r="E26" s="84"/>
      <c r="F26" s="84"/>
      <c r="G26" s="84"/>
      <c r="H26" s="95"/>
      <c r="I26" s="95"/>
      <c r="J26" s="95"/>
      <c r="K26" s="95"/>
      <c r="L26" s="95"/>
      <c r="M26" s="95"/>
      <c r="N26" s="95"/>
      <c r="O26" s="95"/>
      <c r="P26" s="95"/>
      <c r="Q26" s="95"/>
      <c r="R26" s="95"/>
      <c r="S26" s="95"/>
      <c r="T26" s="95"/>
      <c r="U26" s="95"/>
      <c r="V26" s="95"/>
      <c r="W26" s="95"/>
      <c r="X26" s="95"/>
      <c r="Y26" s="95"/>
    </row>
    <row r="27" ht="16.5" customHeight="1" spans="1:26">
      <c r="A27" s="84"/>
      <c r="B27" s="101"/>
      <c r="C27" s="101"/>
      <c r="D27" s="101"/>
      <c r="E27" s="84"/>
      <c r="F27" s="84"/>
      <c r="G27" s="84"/>
      <c r="H27" s="60"/>
      <c r="I27" s="60"/>
      <c r="J27" s="60"/>
      <c r="K27" s="60"/>
      <c r="L27" s="60"/>
      <c r="M27" s="60"/>
      <c r="N27" s="60"/>
      <c r="O27" s="60"/>
      <c r="P27" s="60"/>
      <c r="Q27" s="60"/>
      <c r="R27" s="60"/>
      <c r="S27" s="60"/>
      <c r="T27" s="60"/>
      <c r="U27" s="60"/>
      <c r="V27" s="60"/>
      <c r="W27" s="60"/>
      <c r="X27" s="60"/>
      <c r="Y27" s="60"/>
    </row>
    <row r="28" ht="16.5" customHeight="1" spans="1:26">
      <c r="A28" s="84"/>
      <c r="B28" s="101"/>
      <c r="C28" s="101"/>
      <c r="D28" s="101"/>
      <c r="E28" s="84"/>
      <c r="F28" s="84"/>
      <c r="G28" s="84"/>
      <c r="H28" s="60"/>
      <c r="I28" s="60"/>
      <c r="J28" s="60"/>
      <c r="K28" s="60"/>
      <c r="L28" s="60"/>
      <c r="M28" s="60"/>
      <c r="N28" s="60"/>
      <c r="O28" s="60"/>
      <c r="P28" s="60"/>
      <c r="Q28" s="60"/>
      <c r="R28" s="60"/>
      <c r="S28" s="60"/>
      <c r="T28" s="60"/>
      <c r="U28" s="60"/>
      <c r="V28" s="60"/>
      <c r="W28" s="60"/>
      <c r="X28" s="60"/>
      <c r="Y28" s="60"/>
    </row>
    <row r="29" ht="16.5" customHeight="1" spans="1:26">
      <c r="A29" s="60"/>
      <c r="B29" s="60"/>
      <c r="C29" s="60"/>
      <c r="D29" s="60"/>
      <c r="E29" s="60"/>
      <c r="F29" s="60"/>
      <c r="G29" s="60"/>
      <c r="H29" s="60"/>
      <c r="I29" s="60"/>
      <c r="J29" s="60"/>
      <c r="K29" s="60"/>
      <c r="L29" s="60"/>
      <c r="M29" s="60"/>
      <c r="N29" s="60"/>
      <c r="O29" s="60"/>
      <c r="P29" s="60"/>
      <c r="Q29" s="60"/>
      <c r="R29" s="60"/>
      <c r="S29" s="60"/>
      <c r="T29" s="60"/>
      <c r="U29" s="60"/>
      <c r="V29" s="60"/>
      <c r="W29" s="60"/>
      <c r="X29" s="60"/>
      <c r="Y29" s="60"/>
    </row>
    <row r="30" ht="16.5" customHeight="1" spans="1:26">
      <c r="A30" s="60"/>
      <c r="B30" s="60"/>
      <c r="C30" s="60"/>
      <c r="D30" s="60"/>
      <c r="E30" s="60"/>
      <c r="F30" s="60"/>
      <c r="G30" s="60"/>
      <c r="H30" s="60"/>
      <c r="I30" s="60"/>
      <c r="J30" s="60"/>
      <c r="K30" s="60"/>
      <c r="L30" s="60"/>
      <c r="M30" s="60"/>
      <c r="N30" s="60"/>
      <c r="O30" s="60"/>
      <c r="P30" s="60"/>
      <c r="Q30" s="60"/>
      <c r="R30" s="60"/>
      <c r="S30" s="60"/>
      <c r="T30" s="60"/>
      <c r="U30" s="60"/>
      <c r="V30" s="60"/>
      <c r="W30" s="60"/>
      <c r="X30" s="60"/>
      <c r="Y30" s="60"/>
    </row>
    <row r="31" ht="16.5" customHeight="1" spans="1:26">
      <c r="A31" s="60"/>
      <c r="B31" s="60"/>
      <c r="C31" s="60"/>
      <c r="D31" s="60"/>
      <c r="E31" s="60"/>
      <c r="F31" s="60"/>
      <c r="G31" s="60"/>
      <c r="H31" s="60"/>
      <c r="I31" s="60"/>
      <c r="J31" s="60"/>
      <c r="K31" s="60"/>
      <c r="L31" s="60"/>
      <c r="M31" s="60"/>
      <c r="N31" s="60"/>
      <c r="O31" s="60"/>
      <c r="P31" s="60"/>
      <c r="Q31" s="60"/>
      <c r="R31" s="60"/>
      <c r="S31" s="60"/>
      <c r="T31" s="60"/>
      <c r="U31" s="60"/>
      <c r="V31" s="60"/>
      <c r="W31" s="60"/>
      <c r="X31" s="60"/>
      <c r="Y31" s="60"/>
    </row>
    <row r="32" ht="16.5" customHeight="1" spans="1:26">
      <c r="A32" s="60"/>
      <c r="B32" s="60"/>
      <c r="C32" s="60"/>
      <c r="D32" s="60"/>
      <c r="E32" s="60"/>
      <c r="F32" s="60"/>
      <c r="G32" s="60"/>
      <c r="H32" s="60"/>
      <c r="I32" s="60"/>
      <c r="J32" s="60"/>
      <c r="K32" s="60"/>
      <c r="L32" s="60"/>
      <c r="M32" s="60"/>
      <c r="N32" s="60"/>
      <c r="O32" s="60"/>
      <c r="P32" s="60"/>
      <c r="Q32" s="60"/>
      <c r="R32" s="60"/>
      <c r="S32" s="60"/>
      <c r="T32" s="60"/>
      <c r="U32" s="60"/>
      <c r="V32" s="60"/>
      <c r="W32" s="60"/>
      <c r="X32" s="60"/>
      <c r="Y32" s="60"/>
    </row>
    <row r="33" ht="16.5" customHeight="1" spans="1:25">
      <c r="A33" s="60"/>
      <c r="B33" s="60"/>
      <c r="C33" s="60"/>
      <c r="D33" s="60"/>
      <c r="E33" s="60"/>
      <c r="F33" s="60"/>
      <c r="G33" s="60"/>
      <c r="H33" s="60"/>
      <c r="I33" s="60"/>
      <c r="J33" s="60"/>
      <c r="K33" s="60"/>
      <c r="L33" s="60"/>
      <c r="M33" s="60"/>
      <c r="N33" s="60"/>
      <c r="O33" s="60"/>
      <c r="P33" s="60"/>
      <c r="Q33" s="60"/>
      <c r="R33" s="60"/>
      <c r="S33" s="60"/>
      <c r="T33" s="60"/>
      <c r="U33" s="60"/>
      <c r="V33" s="60"/>
      <c r="W33" s="60"/>
      <c r="X33" s="60"/>
      <c r="Y33" s="60"/>
    </row>
    <row r="34" ht="16.5" customHeight="1" spans="1:25">
      <c r="A34" s="60"/>
      <c r="B34" s="60"/>
      <c r="C34" s="60"/>
      <c r="D34" s="60"/>
      <c r="E34" s="60"/>
      <c r="F34" s="60"/>
      <c r="G34" s="60"/>
      <c r="H34" s="60"/>
      <c r="I34" s="60"/>
      <c r="J34" s="60"/>
      <c r="K34" s="60"/>
      <c r="L34" s="60"/>
      <c r="M34" s="60"/>
      <c r="N34" s="60"/>
      <c r="O34" s="60"/>
      <c r="P34" s="60"/>
      <c r="Q34" s="60"/>
      <c r="R34" s="60"/>
      <c r="S34" s="60"/>
      <c r="T34" s="60"/>
      <c r="U34" s="60"/>
      <c r="V34" s="60"/>
      <c r="W34" s="60"/>
      <c r="X34" s="60"/>
      <c r="Y34" s="60"/>
    </row>
    <row r="35" ht="16.5" customHeight="1" spans="1:25">
      <c r="A35" s="60"/>
      <c r="B35" s="60"/>
      <c r="C35" s="60"/>
      <c r="D35" s="60"/>
      <c r="E35" s="60"/>
      <c r="F35" s="60"/>
      <c r="G35" s="60"/>
      <c r="H35" s="60"/>
      <c r="I35" s="60"/>
      <c r="J35" s="60"/>
      <c r="K35" s="60"/>
      <c r="L35" s="60"/>
      <c r="M35" s="60"/>
      <c r="N35" s="60"/>
      <c r="O35" s="60"/>
      <c r="P35" s="60"/>
      <c r="Q35" s="60"/>
      <c r="R35" s="60"/>
      <c r="S35" s="60"/>
      <c r="T35" s="60"/>
      <c r="U35" s="60"/>
      <c r="V35" s="60"/>
      <c r="W35" s="60"/>
      <c r="X35" s="60"/>
      <c r="Y35" s="60"/>
    </row>
    <row r="36" ht="16.5" customHeight="1" spans="1:25">
      <c r="A36" s="60"/>
      <c r="B36" s="60"/>
      <c r="C36" s="60"/>
      <c r="D36" s="60"/>
      <c r="E36" s="60"/>
      <c r="F36" s="60"/>
      <c r="G36" s="60"/>
      <c r="H36" s="60"/>
      <c r="I36" s="60"/>
      <c r="J36" s="60"/>
      <c r="K36" s="60"/>
      <c r="L36" s="60"/>
      <c r="M36" s="60"/>
      <c r="N36" s="60"/>
      <c r="O36" s="60"/>
      <c r="P36" s="60"/>
      <c r="Q36" s="60"/>
      <c r="R36" s="60"/>
      <c r="S36" s="60"/>
      <c r="T36" s="60"/>
      <c r="U36" s="60"/>
      <c r="V36" s="60"/>
      <c r="W36" s="60"/>
      <c r="X36" s="60"/>
      <c r="Y36" s="60"/>
    </row>
    <row r="37" ht="16.5" customHeight="1" spans="1:25">
      <c r="A37" s="60"/>
      <c r="B37" s="60"/>
      <c r="C37" s="60"/>
      <c r="D37" s="60"/>
      <c r="E37" s="60"/>
      <c r="F37" s="60"/>
      <c r="G37" s="60"/>
      <c r="H37" s="60"/>
      <c r="I37" s="60"/>
      <c r="J37" s="60"/>
      <c r="K37" s="60"/>
      <c r="L37" s="60"/>
      <c r="M37" s="60"/>
      <c r="N37" s="60"/>
      <c r="O37" s="60"/>
      <c r="P37" s="60"/>
      <c r="Q37" s="60"/>
      <c r="R37" s="60"/>
      <c r="S37" s="60"/>
      <c r="T37" s="60"/>
      <c r="U37" s="60"/>
      <c r="V37" s="60"/>
      <c r="W37" s="60"/>
      <c r="X37" s="60"/>
      <c r="Y37" s="60"/>
    </row>
    <row r="38" ht="16.5" customHeight="1" spans="1:25">
      <c r="A38" s="60"/>
      <c r="B38" s="60"/>
      <c r="C38" s="60"/>
      <c r="D38" s="60"/>
      <c r="E38" s="60"/>
      <c r="F38" s="60"/>
      <c r="G38" s="60"/>
      <c r="H38" s="60"/>
      <c r="I38" s="60"/>
      <c r="J38" s="60"/>
      <c r="K38" s="60"/>
      <c r="L38" s="60"/>
      <c r="M38" s="60"/>
      <c r="N38" s="60"/>
      <c r="O38" s="60"/>
      <c r="P38" s="60"/>
      <c r="Q38" s="60"/>
      <c r="R38" s="60"/>
      <c r="S38" s="60"/>
      <c r="T38" s="60"/>
      <c r="U38" s="60"/>
      <c r="V38" s="60"/>
      <c r="W38" s="60"/>
      <c r="X38" s="60"/>
      <c r="Y38" s="60"/>
    </row>
    <row r="39" ht="16.5" customHeight="1" spans="1:25">
      <c r="A39" s="60"/>
      <c r="B39" s="60"/>
      <c r="C39" s="60"/>
      <c r="D39" s="60"/>
      <c r="E39" s="60"/>
      <c r="F39" s="60"/>
      <c r="G39" s="60"/>
      <c r="H39" s="60"/>
      <c r="I39" s="60"/>
      <c r="J39" s="60"/>
      <c r="K39" s="60"/>
      <c r="L39" s="60"/>
      <c r="M39" s="60"/>
      <c r="N39" s="60"/>
      <c r="O39" s="60"/>
      <c r="P39" s="60"/>
      <c r="Q39" s="60"/>
      <c r="R39" s="60"/>
      <c r="S39" s="60"/>
      <c r="T39" s="60"/>
      <c r="U39" s="60"/>
      <c r="V39" s="60"/>
      <c r="W39" s="60"/>
      <c r="X39" s="60"/>
      <c r="Y39" s="60"/>
    </row>
    <row r="40" ht="16.5" customHeight="1" spans="1:25">
      <c r="A40" s="60"/>
      <c r="B40" s="60"/>
      <c r="C40" s="60"/>
      <c r="D40" s="60"/>
      <c r="E40" s="60"/>
      <c r="F40" s="60"/>
      <c r="G40" s="60"/>
      <c r="H40" s="60"/>
      <c r="I40" s="60"/>
      <c r="J40" s="60"/>
      <c r="K40" s="60"/>
      <c r="L40" s="60"/>
      <c r="M40" s="60"/>
      <c r="N40" s="60"/>
      <c r="O40" s="60"/>
      <c r="P40" s="60"/>
      <c r="Q40" s="60"/>
      <c r="R40" s="60"/>
      <c r="S40" s="60"/>
      <c r="T40" s="60"/>
      <c r="U40" s="60"/>
      <c r="V40" s="60"/>
      <c r="W40" s="60"/>
      <c r="X40" s="60"/>
      <c r="Y40" s="60"/>
    </row>
    <row r="41" ht="16.5" customHeight="1" spans="1:25">
      <c r="A41" s="60"/>
      <c r="B41" s="60"/>
      <c r="C41" s="60"/>
      <c r="D41" s="60"/>
      <c r="E41" s="60"/>
      <c r="F41" s="60"/>
      <c r="G41" s="60"/>
      <c r="H41" s="60"/>
      <c r="I41" s="60"/>
      <c r="J41" s="60"/>
      <c r="K41" s="60"/>
      <c r="L41" s="60"/>
      <c r="M41" s="60"/>
      <c r="N41" s="60"/>
      <c r="O41" s="60"/>
      <c r="P41" s="60"/>
      <c r="Q41" s="60"/>
      <c r="R41" s="60"/>
      <c r="S41" s="60"/>
      <c r="T41" s="60"/>
      <c r="U41" s="60"/>
      <c r="V41" s="60"/>
      <c r="W41" s="60"/>
      <c r="X41" s="60"/>
      <c r="Y41" s="60"/>
    </row>
    <row r="42" ht="16.5" customHeight="1" spans="1:25">
      <c r="A42" s="60"/>
      <c r="B42" s="60"/>
      <c r="C42" s="60"/>
      <c r="D42" s="60"/>
      <c r="E42" s="60"/>
      <c r="F42" s="60"/>
      <c r="G42" s="60"/>
      <c r="H42" s="60"/>
      <c r="I42" s="60"/>
      <c r="J42" s="60"/>
      <c r="K42" s="60"/>
      <c r="L42" s="60"/>
      <c r="M42" s="60"/>
      <c r="N42" s="60"/>
      <c r="O42" s="60"/>
      <c r="P42" s="60"/>
      <c r="Q42" s="60"/>
      <c r="R42" s="60"/>
      <c r="S42" s="60"/>
      <c r="T42" s="60"/>
      <c r="U42" s="60"/>
      <c r="V42" s="60"/>
      <c r="W42" s="60"/>
      <c r="X42" s="60"/>
      <c r="Y42" s="60"/>
    </row>
    <row r="43" ht="16.5" customHeight="1" spans="1:25">
      <c r="A43" s="60"/>
      <c r="B43" s="60"/>
      <c r="C43" s="60"/>
      <c r="D43" s="60"/>
      <c r="E43" s="60"/>
      <c r="F43" s="60"/>
      <c r="G43" s="60"/>
      <c r="H43" s="60"/>
      <c r="I43" s="60"/>
      <c r="J43" s="60"/>
      <c r="K43" s="60"/>
      <c r="L43" s="60"/>
      <c r="M43" s="60"/>
      <c r="N43" s="60"/>
      <c r="O43" s="60"/>
      <c r="P43" s="60"/>
      <c r="Q43" s="60"/>
      <c r="R43" s="60"/>
      <c r="S43" s="60"/>
      <c r="T43" s="60"/>
      <c r="U43" s="60"/>
      <c r="V43" s="60"/>
      <c r="W43" s="60"/>
      <c r="X43" s="60"/>
      <c r="Y43" s="60"/>
    </row>
    <row r="44" ht="16.5" customHeight="1" spans="1:25">
      <c r="A44" s="60"/>
      <c r="B44" s="60"/>
      <c r="C44" s="60"/>
      <c r="D44" s="60"/>
      <c r="E44" s="60"/>
      <c r="F44" s="60"/>
      <c r="G44" s="60"/>
      <c r="H44" s="60"/>
      <c r="I44" s="60"/>
      <c r="J44" s="60"/>
      <c r="K44" s="60"/>
      <c r="L44" s="60"/>
      <c r="M44" s="60"/>
      <c r="N44" s="60"/>
      <c r="O44" s="60"/>
      <c r="P44" s="60"/>
      <c r="Q44" s="60"/>
      <c r="R44" s="60"/>
      <c r="S44" s="60"/>
      <c r="T44" s="60"/>
      <c r="U44" s="60"/>
      <c r="V44" s="60"/>
      <c r="W44" s="60"/>
      <c r="X44" s="60"/>
      <c r="Y44" s="60"/>
    </row>
    <row r="45" ht="16.5" customHeight="1" spans="1:25">
      <c r="A45" s="60"/>
      <c r="B45" s="60"/>
      <c r="C45" s="60"/>
      <c r="D45" s="60"/>
      <c r="E45" s="60"/>
      <c r="F45" s="60"/>
      <c r="G45" s="60"/>
      <c r="H45" s="60"/>
      <c r="I45" s="60"/>
      <c r="J45" s="60"/>
      <c r="K45" s="60"/>
      <c r="L45" s="60"/>
      <c r="M45" s="60"/>
      <c r="N45" s="60"/>
      <c r="O45" s="60"/>
      <c r="P45" s="60"/>
      <c r="Q45" s="60"/>
      <c r="R45" s="60"/>
      <c r="S45" s="60"/>
      <c r="T45" s="60"/>
      <c r="U45" s="60"/>
      <c r="V45" s="60"/>
      <c r="W45" s="60"/>
      <c r="X45" s="60"/>
      <c r="Y45" s="60"/>
    </row>
    <row r="46" ht="16.5" customHeight="1" spans="1:25">
      <c r="A46" s="60"/>
      <c r="B46" s="60"/>
      <c r="C46" s="60"/>
      <c r="D46" s="60"/>
      <c r="E46" s="60"/>
      <c r="F46" s="60"/>
      <c r="G46" s="60"/>
      <c r="H46" s="60"/>
      <c r="I46" s="60"/>
      <c r="J46" s="60"/>
      <c r="K46" s="60"/>
      <c r="L46" s="60"/>
      <c r="M46" s="60"/>
      <c r="N46" s="60"/>
      <c r="O46" s="60"/>
      <c r="P46" s="60"/>
      <c r="Q46" s="60"/>
      <c r="R46" s="60"/>
      <c r="S46" s="60"/>
      <c r="T46" s="60"/>
      <c r="U46" s="60"/>
      <c r="V46" s="60"/>
      <c r="W46" s="60"/>
      <c r="X46" s="60"/>
      <c r="Y46" s="60"/>
    </row>
    <row r="47" ht="16.5" customHeight="1" spans="1:25">
      <c r="A47" s="60"/>
      <c r="B47" s="60"/>
      <c r="C47" s="60"/>
      <c r="D47" s="60"/>
      <c r="E47" s="60"/>
      <c r="F47" s="60"/>
      <c r="G47" s="60"/>
      <c r="H47" s="60"/>
      <c r="I47" s="60"/>
      <c r="J47" s="60"/>
      <c r="K47" s="60"/>
      <c r="L47" s="60"/>
      <c r="M47" s="60"/>
      <c r="N47" s="60"/>
      <c r="O47" s="60"/>
      <c r="P47" s="60"/>
      <c r="Q47" s="60"/>
      <c r="R47" s="60"/>
      <c r="S47" s="60"/>
      <c r="T47" s="60"/>
      <c r="U47" s="60"/>
      <c r="V47" s="60"/>
      <c r="W47" s="60"/>
      <c r="X47" s="60"/>
      <c r="Y47" s="60"/>
    </row>
    <row r="48" ht="16.5" customHeight="1" spans="1:25">
      <c r="A48" s="60"/>
      <c r="B48" s="60"/>
      <c r="C48" s="60"/>
      <c r="D48" s="60"/>
      <c r="E48" s="60"/>
      <c r="F48" s="60"/>
      <c r="G48" s="60"/>
      <c r="H48" s="60"/>
      <c r="I48" s="60"/>
      <c r="J48" s="60"/>
      <c r="K48" s="60"/>
      <c r="L48" s="60"/>
      <c r="M48" s="60"/>
      <c r="N48" s="60"/>
      <c r="O48" s="60"/>
      <c r="P48" s="60"/>
      <c r="Q48" s="60"/>
      <c r="R48" s="60"/>
      <c r="S48" s="60"/>
      <c r="T48" s="60"/>
      <c r="U48" s="60"/>
      <c r="V48" s="60"/>
      <c r="W48" s="60"/>
      <c r="X48" s="60"/>
      <c r="Y48" s="60"/>
    </row>
    <row r="49" ht="16.5" customHeight="1" spans="1:25">
      <c r="A49" s="60"/>
      <c r="B49" s="60"/>
      <c r="C49" s="60"/>
      <c r="D49" s="60"/>
      <c r="E49" s="60"/>
      <c r="F49" s="60"/>
      <c r="G49" s="60"/>
      <c r="H49" s="60"/>
      <c r="I49" s="60"/>
      <c r="J49" s="60"/>
      <c r="K49" s="60"/>
      <c r="L49" s="60"/>
      <c r="M49" s="60"/>
      <c r="N49" s="60"/>
      <c r="O49" s="60"/>
      <c r="P49" s="60"/>
      <c r="Q49" s="60"/>
      <c r="R49" s="60"/>
      <c r="S49" s="60"/>
      <c r="T49" s="60"/>
      <c r="U49" s="60"/>
      <c r="V49" s="60"/>
      <c r="W49" s="60"/>
      <c r="X49" s="60"/>
      <c r="Y49" s="60"/>
    </row>
    <row r="50" ht="16.5" customHeight="1" spans="1:25">
      <c r="A50" s="60"/>
      <c r="B50" s="60"/>
      <c r="C50" s="60"/>
      <c r="D50" s="60"/>
      <c r="E50" s="60"/>
      <c r="F50" s="60"/>
      <c r="G50" s="60"/>
      <c r="H50" s="60"/>
      <c r="I50" s="60"/>
      <c r="J50" s="60"/>
      <c r="K50" s="60"/>
      <c r="L50" s="60"/>
      <c r="M50" s="60"/>
      <c r="N50" s="60"/>
      <c r="O50" s="60"/>
      <c r="P50" s="60"/>
      <c r="Q50" s="60"/>
      <c r="R50" s="60"/>
      <c r="S50" s="60"/>
      <c r="T50" s="60"/>
      <c r="U50" s="60"/>
      <c r="V50" s="60"/>
      <c r="W50" s="60"/>
      <c r="X50" s="60"/>
      <c r="Y50" s="60"/>
    </row>
    <row r="51" ht="16.5" customHeight="1" spans="1:25">
      <c r="A51" s="60"/>
      <c r="B51" s="60"/>
      <c r="C51" s="60"/>
      <c r="D51" s="60"/>
      <c r="E51" s="60"/>
      <c r="F51" s="60"/>
      <c r="G51" s="60"/>
      <c r="H51" s="60"/>
      <c r="I51" s="60"/>
      <c r="J51" s="60"/>
      <c r="K51" s="60"/>
      <c r="L51" s="60"/>
      <c r="M51" s="60"/>
      <c r="N51" s="60"/>
      <c r="O51" s="60"/>
      <c r="P51" s="60"/>
      <c r="Q51" s="60"/>
      <c r="R51" s="60"/>
      <c r="S51" s="60"/>
      <c r="T51" s="60"/>
      <c r="U51" s="60"/>
      <c r="V51" s="60"/>
      <c r="W51" s="60"/>
      <c r="X51" s="60"/>
      <c r="Y51" s="60"/>
    </row>
    <row r="52" ht="16.5" customHeight="1" spans="1:25">
      <c r="A52" s="60"/>
      <c r="B52" s="60"/>
      <c r="C52" s="60"/>
      <c r="D52" s="60"/>
      <c r="E52" s="60"/>
      <c r="F52" s="60"/>
      <c r="G52" s="60"/>
      <c r="H52" s="60"/>
      <c r="I52" s="60"/>
      <c r="J52" s="60"/>
      <c r="K52" s="60"/>
      <c r="L52" s="60"/>
      <c r="M52" s="60"/>
      <c r="N52" s="60"/>
      <c r="O52" s="60"/>
      <c r="P52" s="60"/>
      <c r="Q52" s="60"/>
      <c r="R52" s="60"/>
      <c r="S52" s="60"/>
      <c r="T52" s="60"/>
      <c r="U52" s="60"/>
      <c r="V52" s="60"/>
      <c r="W52" s="60"/>
      <c r="X52" s="60"/>
      <c r="Y52" s="60"/>
    </row>
    <row r="53" ht="16.5" customHeight="1" spans="1:25">
      <c r="A53" s="60"/>
      <c r="B53" s="60"/>
      <c r="C53" s="60"/>
      <c r="D53" s="60"/>
      <c r="E53" s="60"/>
      <c r="F53" s="60"/>
      <c r="G53" s="60"/>
      <c r="H53" s="60"/>
      <c r="I53" s="60"/>
      <c r="J53" s="60"/>
      <c r="K53" s="60"/>
      <c r="L53" s="60"/>
      <c r="M53" s="60"/>
      <c r="N53" s="60"/>
      <c r="O53" s="60"/>
      <c r="P53" s="60"/>
      <c r="Q53" s="60"/>
      <c r="R53" s="60"/>
      <c r="S53" s="60"/>
      <c r="T53" s="60"/>
      <c r="U53" s="60"/>
      <c r="V53" s="60"/>
      <c r="W53" s="60"/>
      <c r="X53" s="60"/>
      <c r="Y53" s="60"/>
    </row>
    <row r="54" ht="16.5" customHeight="1" spans="1:25">
      <c r="A54" s="60"/>
      <c r="B54" s="60"/>
      <c r="C54" s="60"/>
      <c r="D54" s="60"/>
      <c r="E54" s="60"/>
      <c r="F54" s="60"/>
      <c r="G54" s="60"/>
      <c r="H54" s="60"/>
      <c r="I54" s="60"/>
      <c r="J54" s="60"/>
      <c r="K54" s="60"/>
      <c r="L54" s="60"/>
      <c r="M54" s="60"/>
      <c r="N54" s="60"/>
      <c r="O54" s="60"/>
      <c r="P54" s="60"/>
      <c r="Q54" s="60"/>
      <c r="R54" s="60"/>
      <c r="S54" s="60"/>
      <c r="T54" s="60"/>
      <c r="U54" s="60"/>
      <c r="V54" s="60"/>
      <c r="W54" s="60"/>
      <c r="X54" s="60"/>
      <c r="Y54" s="60"/>
    </row>
    <row r="55" ht="16.5" customHeight="1" spans="1:25">
      <c r="A55" s="60"/>
      <c r="B55" s="60"/>
      <c r="C55" s="60"/>
      <c r="D55" s="60"/>
      <c r="E55" s="60"/>
      <c r="F55" s="60"/>
      <c r="G55" s="60"/>
      <c r="H55" s="60"/>
      <c r="I55" s="60"/>
      <c r="J55" s="60"/>
      <c r="K55" s="60"/>
      <c r="L55" s="60"/>
      <c r="M55" s="60"/>
      <c r="N55" s="60"/>
      <c r="O55" s="60"/>
      <c r="P55" s="60"/>
      <c r="Q55" s="60"/>
      <c r="R55" s="60"/>
      <c r="S55" s="60"/>
      <c r="T55" s="60"/>
      <c r="U55" s="60"/>
      <c r="V55" s="60"/>
      <c r="W55" s="60"/>
      <c r="X55" s="60"/>
      <c r="Y55" s="60"/>
    </row>
    <row r="56" ht="16.5" customHeight="1" spans="1:25">
      <c r="A56" s="60"/>
      <c r="B56" s="60"/>
      <c r="C56" s="60"/>
      <c r="D56" s="60"/>
      <c r="E56" s="60"/>
      <c r="F56" s="60"/>
      <c r="G56" s="60"/>
      <c r="H56" s="60"/>
      <c r="I56" s="60"/>
      <c r="J56" s="60"/>
      <c r="K56" s="60"/>
      <c r="L56" s="60"/>
      <c r="M56" s="60"/>
      <c r="N56" s="60"/>
      <c r="O56" s="60"/>
      <c r="P56" s="60"/>
      <c r="Q56" s="60"/>
      <c r="R56" s="60"/>
      <c r="S56" s="60"/>
      <c r="T56" s="60"/>
      <c r="U56" s="60"/>
      <c r="V56" s="60"/>
      <c r="W56" s="60"/>
      <c r="X56" s="60"/>
      <c r="Y56" s="60"/>
    </row>
    <row r="57" ht="16.5" customHeight="1" spans="1:25">
      <c r="A57" s="60"/>
      <c r="B57" s="60"/>
      <c r="C57" s="60"/>
      <c r="D57" s="60"/>
      <c r="E57" s="60"/>
      <c r="F57" s="60"/>
      <c r="G57" s="60"/>
      <c r="H57" s="60"/>
      <c r="I57" s="60"/>
      <c r="J57" s="60"/>
      <c r="K57" s="60"/>
      <c r="L57" s="60"/>
      <c r="M57" s="60"/>
      <c r="N57" s="60"/>
      <c r="O57" s="60"/>
      <c r="P57" s="60"/>
      <c r="Q57" s="60"/>
      <c r="R57" s="60"/>
      <c r="S57" s="60"/>
      <c r="T57" s="60"/>
      <c r="U57" s="60"/>
      <c r="V57" s="60"/>
      <c r="W57" s="60"/>
      <c r="X57" s="60"/>
      <c r="Y57" s="60"/>
    </row>
    <row r="58" ht="16.5" customHeight="1" spans="1:25">
      <c r="A58" s="60"/>
      <c r="B58" s="60"/>
      <c r="C58" s="60"/>
      <c r="D58" s="60"/>
      <c r="E58" s="60"/>
      <c r="F58" s="60"/>
      <c r="G58" s="60"/>
      <c r="H58" s="60"/>
      <c r="I58" s="60"/>
      <c r="J58" s="60"/>
      <c r="K58" s="60"/>
      <c r="L58" s="60"/>
      <c r="M58" s="60"/>
      <c r="N58" s="60"/>
      <c r="O58" s="60"/>
      <c r="P58" s="60"/>
      <c r="Q58" s="60"/>
      <c r="R58" s="60"/>
      <c r="S58" s="60"/>
      <c r="T58" s="60"/>
      <c r="U58" s="60"/>
      <c r="V58" s="60"/>
      <c r="W58" s="60"/>
      <c r="X58" s="60"/>
      <c r="Y58" s="60"/>
    </row>
    <row r="59" ht="16.5" customHeight="1" spans="1:25">
      <c r="A59" s="60"/>
      <c r="B59" s="60"/>
      <c r="C59" s="60"/>
      <c r="D59" s="60"/>
      <c r="E59" s="60"/>
      <c r="F59" s="60"/>
      <c r="G59" s="60"/>
      <c r="H59" s="60"/>
      <c r="I59" s="60"/>
      <c r="J59" s="60"/>
      <c r="K59" s="60"/>
      <c r="L59" s="60"/>
      <c r="M59" s="60"/>
      <c r="N59" s="60"/>
      <c r="O59" s="60"/>
      <c r="P59" s="60"/>
      <c r="Q59" s="60"/>
      <c r="R59" s="60"/>
      <c r="S59" s="60"/>
      <c r="T59" s="60"/>
      <c r="U59" s="60"/>
      <c r="V59" s="60"/>
      <c r="W59" s="60"/>
      <c r="X59" s="60"/>
      <c r="Y59" s="60"/>
    </row>
    <row r="60" ht="16.5" customHeight="1" spans="1:25">
      <c r="A60" s="60"/>
      <c r="B60" s="60"/>
      <c r="C60" s="60"/>
      <c r="D60" s="60"/>
      <c r="E60" s="60"/>
      <c r="F60" s="60"/>
      <c r="G60" s="60"/>
      <c r="H60" s="60"/>
      <c r="I60" s="60"/>
      <c r="J60" s="60"/>
      <c r="K60" s="60"/>
      <c r="L60" s="60"/>
      <c r="M60" s="60"/>
      <c r="N60" s="60"/>
      <c r="O60" s="60"/>
      <c r="P60" s="60"/>
      <c r="Q60" s="60"/>
      <c r="R60" s="60"/>
      <c r="S60" s="60"/>
      <c r="T60" s="60"/>
      <c r="U60" s="60"/>
      <c r="V60" s="60"/>
      <c r="W60" s="60"/>
      <c r="X60" s="60"/>
      <c r="Y60" s="60"/>
    </row>
    <row r="61" ht="16.5" customHeight="1" spans="1:25">
      <c r="A61" s="60"/>
      <c r="B61" s="60"/>
      <c r="C61" s="60"/>
      <c r="D61" s="60"/>
      <c r="E61" s="60"/>
      <c r="F61" s="60"/>
      <c r="G61" s="60"/>
      <c r="H61" s="60"/>
      <c r="I61" s="60"/>
      <c r="J61" s="60"/>
      <c r="K61" s="60"/>
      <c r="L61" s="60"/>
      <c r="M61" s="60"/>
      <c r="N61" s="60"/>
      <c r="O61" s="60"/>
      <c r="P61" s="60"/>
      <c r="Q61" s="60"/>
      <c r="R61" s="60"/>
      <c r="S61" s="60"/>
      <c r="T61" s="60"/>
      <c r="U61" s="60"/>
      <c r="V61" s="60"/>
      <c r="W61" s="60"/>
      <c r="X61" s="60"/>
      <c r="Y61" s="60"/>
    </row>
    <row r="62" ht="16.5" customHeight="1" spans="1:25">
      <c r="A62" s="60"/>
      <c r="B62" s="60"/>
      <c r="C62" s="60"/>
      <c r="D62" s="60"/>
      <c r="E62" s="60"/>
      <c r="F62" s="60"/>
      <c r="G62" s="60"/>
      <c r="H62" s="60"/>
      <c r="I62" s="60"/>
      <c r="J62" s="60"/>
      <c r="K62" s="60"/>
      <c r="L62" s="60"/>
      <c r="M62" s="60"/>
      <c r="N62" s="60"/>
      <c r="O62" s="60"/>
      <c r="P62" s="60"/>
      <c r="Q62" s="60"/>
      <c r="R62" s="60"/>
      <c r="S62" s="60"/>
      <c r="T62" s="60"/>
      <c r="U62" s="60"/>
      <c r="V62" s="60"/>
      <c r="W62" s="60"/>
      <c r="X62" s="60"/>
      <c r="Y62" s="60"/>
    </row>
    <row r="63" ht="16.5" customHeight="1" spans="1:25">
      <c r="A63" s="60"/>
      <c r="B63" s="60"/>
      <c r="C63" s="60"/>
      <c r="D63" s="60"/>
      <c r="E63" s="60"/>
      <c r="F63" s="60"/>
      <c r="G63" s="60"/>
      <c r="H63" s="60"/>
      <c r="I63" s="60"/>
      <c r="J63" s="60"/>
      <c r="K63" s="60"/>
      <c r="L63" s="60"/>
      <c r="M63" s="60"/>
      <c r="N63" s="60"/>
      <c r="O63" s="60"/>
      <c r="P63" s="60"/>
      <c r="Q63" s="60"/>
      <c r="R63" s="60"/>
      <c r="S63" s="60"/>
      <c r="T63" s="60"/>
      <c r="U63" s="60"/>
      <c r="V63" s="60"/>
      <c r="W63" s="60"/>
      <c r="X63" s="60"/>
      <c r="Y63" s="60"/>
    </row>
    <row r="64" ht="16.5" customHeight="1" spans="1:25">
      <c r="A64" s="60"/>
      <c r="B64" s="60"/>
      <c r="C64" s="60"/>
      <c r="D64" s="60"/>
      <c r="E64" s="60"/>
      <c r="F64" s="60"/>
      <c r="G64" s="60"/>
      <c r="H64" s="60"/>
      <c r="I64" s="60"/>
      <c r="J64" s="60"/>
      <c r="K64" s="60"/>
      <c r="L64" s="60"/>
      <c r="M64" s="60"/>
      <c r="N64" s="60"/>
      <c r="O64" s="60"/>
      <c r="P64" s="60"/>
      <c r="Q64" s="60"/>
      <c r="R64" s="60"/>
      <c r="S64" s="60"/>
      <c r="T64" s="60"/>
      <c r="U64" s="60"/>
      <c r="V64" s="60"/>
      <c r="W64" s="60"/>
      <c r="X64" s="60"/>
      <c r="Y64" s="60"/>
    </row>
    <row r="65" ht="16.5" customHeight="1" spans="1:25">
      <c r="A65" s="60"/>
      <c r="B65" s="60"/>
      <c r="C65" s="60"/>
      <c r="D65" s="60"/>
      <c r="E65" s="60"/>
      <c r="F65" s="60"/>
      <c r="G65" s="60"/>
      <c r="H65" s="60"/>
      <c r="I65" s="60"/>
      <c r="J65" s="60"/>
      <c r="K65" s="60"/>
      <c r="L65" s="60"/>
      <c r="M65" s="60"/>
      <c r="N65" s="60"/>
      <c r="O65" s="60"/>
      <c r="P65" s="60"/>
      <c r="Q65" s="60"/>
      <c r="R65" s="60"/>
      <c r="S65" s="60"/>
      <c r="T65" s="60"/>
      <c r="U65" s="60"/>
      <c r="V65" s="60"/>
      <c r="W65" s="60"/>
      <c r="X65" s="60"/>
      <c r="Y65" s="60"/>
    </row>
    <row r="66" ht="16.5" customHeight="1" spans="1:25">
      <c r="A66" s="60"/>
      <c r="B66" s="60"/>
      <c r="C66" s="60"/>
      <c r="D66" s="60"/>
      <c r="E66" s="60"/>
      <c r="F66" s="60"/>
      <c r="G66" s="60"/>
      <c r="H66" s="60"/>
      <c r="I66" s="60"/>
      <c r="J66" s="60"/>
      <c r="K66" s="60"/>
      <c r="L66" s="60"/>
      <c r="M66" s="60"/>
      <c r="N66" s="60"/>
      <c r="O66" s="60"/>
      <c r="P66" s="60"/>
      <c r="Q66" s="60"/>
      <c r="R66" s="60"/>
      <c r="S66" s="60"/>
      <c r="T66" s="60"/>
      <c r="U66" s="60"/>
      <c r="V66" s="60"/>
      <c r="W66" s="60"/>
      <c r="X66" s="60"/>
      <c r="Y66" s="60"/>
    </row>
    <row r="67" ht="16.5" customHeight="1" spans="1:25">
      <c r="A67" s="60"/>
      <c r="B67" s="60"/>
      <c r="C67" s="60"/>
      <c r="D67" s="60"/>
      <c r="E67" s="60"/>
      <c r="F67" s="60"/>
      <c r="G67" s="60"/>
      <c r="H67" s="60"/>
      <c r="I67" s="60"/>
      <c r="J67" s="60"/>
      <c r="K67" s="60"/>
      <c r="L67" s="60"/>
      <c r="M67" s="60"/>
      <c r="N67" s="60"/>
      <c r="O67" s="60"/>
      <c r="P67" s="60"/>
      <c r="Q67" s="60"/>
      <c r="R67" s="60"/>
      <c r="S67" s="60"/>
      <c r="T67" s="60"/>
      <c r="U67" s="60"/>
      <c r="V67" s="60"/>
      <c r="W67" s="60"/>
      <c r="X67" s="60"/>
      <c r="Y67" s="60"/>
    </row>
    <row r="68" ht="16.5" customHeight="1" spans="1:25">
      <c r="A68" s="60"/>
      <c r="B68" s="60"/>
      <c r="C68" s="60"/>
      <c r="D68" s="60"/>
      <c r="E68" s="60"/>
      <c r="F68" s="60"/>
      <c r="G68" s="60"/>
      <c r="H68" s="60"/>
      <c r="I68" s="60"/>
      <c r="J68" s="60"/>
      <c r="K68" s="60"/>
      <c r="L68" s="60"/>
      <c r="M68" s="60"/>
      <c r="N68" s="60"/>
      <c r="O68" s="60"/>
      <c r="P68" s="60"/>
      <c r="Q68" s="60"/>
      <c r="R68" s="60"/>
      <c r="S68" s="60"/>
      <c r="T68" s="60"/>
      <c r="U68" s="60"/>
      <c r="V68" s="60"/>
      <c r="W68" s="60"/>
      <c r="X68" s="60"/>
      <c r="Y68" s="60"/>
    </row>
    <row r="69" ht="16.5" customHeight="1" spans="1:25">
      <c r="A69" s="60"/>
      <c r="B69" s="60"/>
      <c r="C69" s="60"/>
      <c r="D69" s="60"/>
      <c r="E69" s="60"/>
      <c r="F69" s="60"/>
      <c r="G69" s="60"/>
      <c r="H69" s="60"/>
      <c r="I69" s="60"/>
      <c r="J69" s="60"/>
      <c r="K69" s="60"/>
      <c r="L69" s="60"/>
      <c r="M69" s="60"/>
      <c r="N69" s="60"/>
      <c r="O69" s="60"/>
      <c r="P69" s="60"/>
      <c r="Q69" s="60"/>
      <c r="R69" s="60"/>
      <c r="S69" s="60"/>
      <c r="T69" s="60"/>
      <c r="U69" s="60"/>
      <c r="V69" s="60"/>
      <c r="W69" s="60"/>
      <c r="X69" s="60"/>
      <c r="Y69" s="60"/>
    </row>
    <row r="70" ht="16.5" customHeight="1" spans="1:25">
      <c r="A70" s="60"/>
      <c r="B70" s="60"/>
      <c r="C70" s="60"/>
      <c r="D70" s="60"/>
      <c r="E70" s="60"/>
      <c r="F70" s="60"/>
      <c r="G70" s="60"/>
      <c r="H70" s="60"/>
      <c r="I70" s="60"/>
      <c r="J70" s="60"/>
      <c r="K70" s="60"/>
      <c r="L70" s="60"/>
      <c r="M70" s="60"/>
      <c r="N70" s="60"/>
      <c r="O70" s="60"/>
      <c r="P70" s="60"/>
      <c r="Q70" s="60"/>
      <c r="R70" s="60"/>
      <c r="S70" s="60"/>
      <c r="T70" s="60"/>
      <c r="U70" s="60"/>
      <c r="V70" s="60"/>
      <c r="W70" s="60"/>
      <c r="X70" s="60"/>
      <c r="Y70" s="60"/>
    </row>
    <row r="71" ht="16.5" customHeight="1" spans="1:25">
      <c r="A71" s="60"/>
      <c r="B71" s="60"/>
      <c r="C71" s="60"/>
      <c r="D71" s="60"/>
      <c r="E71" s="60"/>
      <c r="F71" s="60"/>
      <c r="G71" s="60"/>
      <c r="H71" s="60"/>
      <c r="I71" s="60"/>
      <c r="J71" s="60"/>
      <c r="K71" s="60"/>
      <c r="L71" s="60"/>
      <c r="M71" s="60"/>
      <c r="N71" s="60"/>
      <c r="O71" s="60"/>
      <c r="P71" s="60"/>
      <c r="Q71" s="60"/>
      <c r="R71" s="60"/>
      <c r="S71" s="60"/>
      <c r="T71" s="60"/>
      <c r="U71" s="60"/>
      <c r="V71" s="60"/>
      <c r="W71" s="60"/>
      <c r="X71" s="60"/>
      <c r="Y71" s="60"/>
    </row>
    <row r="72" ht="16.5" customHeight="1" spans="1:25">
      <c r="A72" s="60"/>
      <c r="B72" s="60"/>
      <c r="C72" s="60"/>
      <c r="D72" s="60"/>
      <c r="E72" s="60"/>
      <c r="F72" s="60"/>
      <c r="G72" s="60"/>
      <c r="H72" s="60"/>
      <c r="I72" s="60"/>
      <c r="J72" s="60"/>
      <c r="K72" s="60"/>
      <c r="L72" s="60"/>
      <c r="M72" s="60"/>
      <c r="N72" s="60"/>
      <c r="O72" s="60"/>
      <c r="P72" s="60"/>
      <c r="Q72" s="60"/>
      <c r="R72" s="60"/>
      <c r="S72" s="60"/>
      <c r="T72" s="60"/>
      <c r="U72" s="60"/>
      <c r="V72" s="60"/>
      <c r="W72" s="60"/>
      <c r="X72" s="60"/>
      <c r="Y72" s="60"/>
    </row>
    <row r="73" ht="16.5" customHeight="1" spans="1:25">
      <c r="A73" s="60"/>
      <c r="B73" s="60"/>
      <c r="C73" s="60"/>
      <c r="D73" s="60"/>
      <c r="E73" s="60"/>
      <c r="F73" s="60"/>
      <c r="G73" s="60"/>
      <c r="H73" s="60"/>
      <c r="I73" s="60"/>
      <c r="J73" s="60"/>
      <c r="K73" s="60"/>
      <c r="L73" s="60"/>
      <c r="M73" s="60"/>
      <c r="N73" s="60"/>
      <c r="O73" s="60"/>
      <c r="P73" s="60"/>
      <c r="Q73" s="60"/>
      <c r="R73" s="60"/>
      <c r="S73" s="60"/>
      <c r="T73" s="60"/>
      <c r="U73" s="60"/>
      <c r="V73" s="60"/>
      <c r="W73" s="60"/>
      <c r="X73" s="60"/>
      <c r="Y73" s="60"/>
    </row>
    <row r="74" ht="16.5" customHeight="1" spans="1:25">
      <c r="A74" s="60"/>
      <c r="B74" s="60"/>
      <c r="C74" s="60"/>
      <c r="D74" s="60"/>
      <c r="E74" s="60"/>
      <c r="F74" s="60"/>
      <c r="G74" s="60"/>
      <c r="H74" s="60"/>
      <c r="I74" s="60"/>
      <c r="J74" s="60"/>
      <c r="K74" s="60"/>
      <c r="L74" s="60"/>
      <c r="M74" s="60"/>
      <c r="N74" s="60"/>
      <c r="O74" s="60"/>
      <c r="P74" s="60"/>
      <c r="Q74" s="60"/>
      <c r="R74" s="60"/>
      <c r="S74" s="60"/>
      <c r="T74" s="60"/>
      <c r="U74" s="60"/>
      <c r="V74" s="60"/>
      <c r="W74" s="60"/>
      <c r="X74" s="60"/>
      <c r="Y74" s="60"/>
    </row>
    <row r="75" ht="16.5" customHeight="1" spans="1:25">
      <c r="A75" s="60"/>
      <c r="B75" s="60"/>
      <c r="C75" s="60"/>
      <c r="D75" s="60"/>
      <c r="E75" s="60"/>
      <c r="F75" s="60"/>
      <c r="G75" s="60"/>
      <c r="H75" s="60"/>
      <c r="I75" s="60"/>
      <c r="J75" s="60"/>
      <c r="K75" s="60"/>
      <c r="L75" s="60"/>
      <c r="M75" s="60"/>
      <c r="N75" s="60"/>
      <c r="O75" s="60"/>
      <c r="P75" s="60"/>
      <c r="Q75" s="60"/>
      <c r="R75" s="60"/>
      <c r="S75" s="60"/>
      <c r="T75" s="60"/>
      <c r="U75" s="60"/>
      <c r="V75" s="60"/>
      <c r="W75" s="60"/>
      <c r="X75" s="60"/>
      <c r="Y75" s="60"/>
    </row>
    <row r="76" ht="16.5" customHeight="1" spans="1:25">
      <c r="A76" s="60"/>
      <c r="B76" s="60"/>
      <c r="C76" s="60"/>
      <c r="D76" s="60"/>
      <c r="E76" s="60"/>
      <c r="F76" s="60"/>
      <c r="G76" s="60"/>
      <c r="H76" s="60"/>
      <c r="I76" s="60"/>
      <c r="J76" s="60"/>
      <c r="K76" s="60"/>
      <c r="L76" s="60"/>
      <c r="M76" s="60"/>
      <c r="N76" s="60"/>
      <c r="O76" s="60"/>
      <c r="P76" s="60"/>
      <c r="Q76" s="60"/>
      <c r="R76" s="60"/>
      <c r="S76" s="60"/>
      <c r="T76" s="60"/>
      <c r="U76" s="60"/>
      <c r="V76" s="60"/>
      <c r="W76" s="60"/>
      <c r="X76" s="60"/>
      <c r="Y76" s="60"/>
    </row>
    <row r="77" ht="16.5" customHeight="1" spans="1:25">
      <c r="A77" s="60"/>
      <c r="B77" s="60"/>
      <c r="C77" s="60"/>
      <c r="D77" s="60"/>
      <c r="E77" s="60"/>
      <c r="F77" s="60"/>
      <c r="G77" s="60"/>
      <c r="H77" s="60"/>
      <c r="I77" s="60"/>
      <c r="J77" s="60"/>
      <c r="K77" s="60"/>
      <c r="L77" s="60"/>
      <c r="M77" s="60"/>
      <c r="N77" s="60"/>
      <c r="O77" s="60"/>
      <c r="P77" s="60"/>
      <c r="Q77" s="60"/>
      <c r="R77" s="60"/>
      <c r="S77" s="60"/>
      <c r="T77" s="60"/>
      <c r="U77" s="60"/>
      <c r="V77" s="60"/>
      <c r="W77" s="60"/>
      <c r="X77" s="60"/>
      <c r="Y77" s="60"/>
    </row>
    <row r="78" ht="16.5" customHeight="1" spans="1:25">
      <c r="A78" s="60"/>
      <c r="B78" s="60"/>
      <c r="C78" s="60"/>
      <c r="D78" s="60"/>
      <c r="E78" s="60"/>
      <c r="F78" s="60"/>
      <c r="G78" s="60"/>
      <c r="H78" s="60"/>
      <c r="I78" s="60"/>
      <c r="J78" s="60"/>
      <c r="K78" s="60"/>
      <c r="L78" s="60"/>
      <c r="M78" s="60"/>
      <c r="N78" s="60"/>
      <c r="O78" s="60"/>
      <c r="P78" s="60"/>
      <c r="Q78" s="60"/>
      <c r="R78" s="60"/>
      <c r="S78" s="60"/>
      <c r="T78" s="60"/>
      <c r="U78" s="60"/>
      <c r="V78" s="60"/>
      <c r="W78" s="60"/>
      <c r="X78" s="60"/>
      <c r="Y78" s="60"/>
    </row>
    <row r="79" ht="16.5" customHeight="1" spans="1:25">
      <c r="A79" s="60"/>
      <c r="B79" s="60"/>
      <c r="C79" s="60"/>
      <c r="D79" s="60"/>
      <c r="E79" s="60"/>
      <c r="F79" s="60"/>
      <c r="G79" s="60"/>
      <c r="H79" s="60"/>
      <c r="I79" s="60"/>
      <c r="J79" s="60"/>
      <c r="K79" s="60"/>
      <c r="L79" s="60"/>
      <c r="M79" s="60"/>
      <c r="N79" s="60"/>
      <c r="O79" s="60"/>
      <c r="P79" s="60"/>
      <c r="Q79" s="60"/>
      <c r="R79" s="60"/>
      <c r="S79" s="60"/>
      <c r="T79" s="60"/>
      <c r="U79" s="60"/>
      <c r="V79" s="60"/>
      <c r="W79" s="60"/>
      <c r="X79" s="60"/>
      <c r="Y79" s="60"/>
    </row>
    <row r="80" ht="16.5" customHeight="1" spans="1:25">
      <c r="A80" s="60"/>
      <c r="B80" s="60"/>
      <c r="C80" s="60"/>
      <c r="D80" s="60"/>
      <c r="E80" s="60"/>
      <c r="F80" s="60"/>
      <c r="G80" s="60"/>
      <c r="H80" s="60"/>
      <c r="I80" s="60"/>
      <c r="J80" s="60"/>
      <c r="K80" s="60"/>
      <c r="L80" s="60"/>
      <c r="M80" s="60"/>
      <c r="N80" s="60"/>
      <c r="O80" s="60"/>
      <c r="P80" s="60"/>
      <c r="Q80" s="60"/>
      <c r="R80" s="60"/>
      <c r="S80" s="60"/>
      <c r="T80" s="60"/>
      <c r="U80" s="60"/>
      <c r="V80" s="60"/>
      <c r="W80" s="60"/>
      <c r="X80" s="60"/>
      <c r="Y80" s="60"/>
    </row>
    <row r="81" ht="16.5" customHeight="1" spans="1:25">
      <c r="A81" s="60"/>
      <c r="B81" s="60"/>
      <c r="C81" s="60"/>
      <c r="D81" s="60"/>
      <c r="E81" s="60"/>
      <c r="F81" s="60"/>
      <c r="G81" s="60"/>
      <c r="H81" s="60"/>
      <c r="I81" s="60"/>
      <c r="J81" s="60"/>
      <c r="K81" s="60"/>
      <c r="L81" s="60"/>
      <c r="M81" s="60"/>
      <c r="N81" s="60"/>
      <c r="O81" s="60"/>
      <c r="P81" s="60"/>
      <c r="Q81" s="60"/>
      <c r="R81" s="60"/>
      <c r="S81" s="60"/>
      <c r="T81" s="60"/>
      <c r="U81" s="60"/>
      <c r="V81" s="60"/>
      <c r="W81" s="60"/>
      <c r="X81" s="60"/>
      <c r="Y81" s="60"/>
    </row>
    <row r="82" ht="16.5" customHeight="1" spans="1:25">
      <c r="A82" s="60"/>
      <c r="B82" s="60"/>
      <c r="C82" s="60"/>
      <c r="D82" s="60"/>
      <c r="E82" s="60"/>
      <c r="F82" s="60"/>
      <c r="G82" s="60"/>
      <c r="H82" s="60"/>
      <c r="I82" s="60"/>
      <c r="J82" s="60"/>
      <c r="K82" s="60"/>
      <c r="L82" s="60"/>
      <c r="M82" s="60"/>
      <c r="N82" s="60"/>
      <c r="O82" s="60"/>
      <c r="P82" s="60"/>
      <c r="Q82" s="60"/>
      <c r="R82" s="60"/>
      <c r="S82" s="60"/>
      <c r="T82" s="60"/>
      <c r="U82" s="60"/>
      <c r="V82" s="60"/>
      <c r="W82" s="60"/>
      <c r="X82" s="60"/>
      <c r="Y82" s="60"/>
    </row>
    <row r="83" ht="16.5" customHeight="1" spans="1:25">
      <c r="A83" s="60"/>
      <c r="B83" s="60"/>
      <c r="C83" s="60"/>
      <c r="D83" s="60"/>
      <c r="E83" s="60"/>
      <c r="F83" s="60"/>
      <c r="G83" s="60"/>
      <c r="H83" s="60"/>
      <c r="I83" s="60"/>
      <c r="J83" s="60"/>
      <c r="K83" s="60"/>
      <c r="L83" s="60"/>
      <c r="M83" s="60"/>
      <c r="N83" s="60"/>
      <c r="O83" s="60"/>
      <c r="P83" s="60"/>
      <c r="Q83" s="60"/>
      <c r="R83" s="60"/>
      <c r="S83" s="60"/>
      <c r="T83" s="60"/>
      <c r="U83" s="60"/>
      <c r="V83" s="60"/>
      <c r="W83" s="60"/>
      <c r="X83" s="60"/>
      <c r="Y83" s="60"/>
    </row>
    <row r="84" ht="16.5" customHeight="1" spans="1:25">
      <c r="A84" s="60"/>
      <c r="B84" s="60"/>
      <c r="C84" s="60"/>
      <c r="D84" s="60"/>
      <c r="E84" s="60"/>
      <c r="F84" s="60"/>
      <c r="G84" s="60"/>
      <c r="H84" s="60"/>
      <c r="I84" s="60"/>
      <c r="J84" s="60"/>
      <c r="K84" s="60"/>
      <c r="L84" s="60"/>
      <c r="M84" s="60"/>
      <c r="N84" s="60"/>
      <c r="O84" s="60"/>
      <c r="P84" s="60"/>
      <c r="Q84" s="60"/>
      <c r="R84" s="60"/>
      <c r="S84" s="60"/>
      <c r="T84" s="60"/>
      <c r="U84" s="60"/>
      <c r="V84" s="60"/>
      <c r="W84" s="60"/>
      <c r="X84" s="60"/>
      <c r="Y84" s="60"/>
    </row>
    <row r="85" ht="16.5" customHeight="1" spans="1:25">
      <c r="A85" s="60"/>
      <c r="B85" s="60"/>
      <c r="C85" s="60"/>
      <c r="D85" s="60"/>
      <c r="E85" s="60"/>
      <c r="F85" s="60"/>
      <c r="G85" s="60"/>
      <c r="H85" s="60"/>
      <c r="I85" s="60"/>
      <c r="J85" s="60"/>
      <c r="K85" s="60"/>
      <c r="L85" s="60"/>
      <c r="M85" s="60"/>
      <c r="N85" s="60"/>
      <c r="O85" s="60"/>
      <c r="P85" s="60"/>
      <c r="Q85" s="60"/>
      <c r="R85" s="60"/>
      <c r="S85" s="60"/>
      <c r="T85" s="60"/>
      <c r="U85" s="60"/>
      <c r="V85" s="60"/>
      <c r="W85" s="60"/>
      <c r="X85" s="60"/>
      <c r="Y85" s="60"/>
    </row>
    <row r="86" ht="16.5" customHeight="1" spans="1:25">
      <c r="A86" s="60"/>
      <c r="B86" s="60"/>
      <c r="C86" s="60"/>
      <c r="D86" s="60"/>
      <c r="E86" s="60"/>
      <c r="F86" s="60"/>
      <c r="G86" s="60"/>
      <c r="H86" s="60"/>
      <c r="I86" s="60"/>
      <c r="J86" s="60"/>
      <c r="K86" s="60"/>
      <c r="L86" s="60"/>
      <c r="M86" s="60"/>
      <c r="N86" s="60"/>
      <c r="O86" s="60"/>
      <c r="P86" s="60"/>
      <c r="Q86" s="60"/>
      <c r="R86" s="60"/>
      <c r="S86" s="60"/>
      <c r="T86" s="60"/>
      <c r="U86" s="60"/>
      <c r="V86" s="60"/>
      <c r="W86" s="60"/>
      <c r="X86" s="60"/>
      <c r="Y86" s="60"/>
    </row>
    <row r="87" ht="16.5" customHeight="1" spans="1:25">
      <c r="A87" s="60"/>
      <c r="B87" s="60"/>
      <c r="C87" s="60"/>
      <c r="D87" s="60"/>
      <c r="E87" s="60"/>
      <c r="F87" s="60"/>
      <c r="G87" s="60"/>
      <c r="H87" s="60"/>
      <c r="I87" s="60"/>
      <c r="J87" s="60"/>
      <c r="K87" s="60"/>
      <c r="L87" s="60"/>
      <c r="M87" s="60"/>
      <c r="N87" s="60"/>
      <c r="O87" s="60"/>
      <c r="P87" s="60"/>
      <c r="Q87" s="60"/>
      <c r="R87" s="60"/>
      <c r="S87" s="60"/>
      <c r="T87" s="60"/>
      <c r="U87" s="60"/>
      <c r="V87" s="60"/>
      <c r="W87" s="60"/>
      <c r="X87" s="60"/>
      <c r="Y87" s="60"/>
    </row>
    <row r="88" ht="16.5" customHeight="1" spans="1:25">
      <c r="A88" s="60"/>
      <c r="B88" s="60"/>
      <c r="C88" s="60"/>
      <c r="D88" s="60"/>
      <c r="E88" s="60"/>
      <c r="F88" s="60"/>
      <c r="G88" s="60"/>
      <c r="H88" s="60"/>
      <c r="I88" s="60"/>
      <c r="J88" s="60"/>
      <c r="K88" s="60"/>
      <c r="L88" s="60"/>
      <c r="M88" s="60"/>
      <c r="N88" s="60"/>
      <c r="O88" s="60"/>
      <c r="P88" s="60"/>
      <c r="Q88" s="60"/>
      <c r="R88" s="60"/>
      <c r="S88" s="60"/>
      <c r="T88" s="60"/>
      <c r="U88" s="60"/>
      <c r="V88" s="60"/>
      <c r="W88" s="60"/>
      <c r="X88" s="60"/>
      <c r="Y88" s="60"/>
    </row>
    <row r="89" ht="16.5" customHeight="1" spans="1:25">
      <c r="A89" s="60"/>
      <c r="B89" s="60"/>
      <c r="C89" s="60"/>
      <c r="D89" s="60"/>
      <c r="E89" s="60"/>
      <c r="F89" s="60"/>
      <c r="G89" s="60"/>
      <c r="H89" s="60"/>
      <c r="I89" s="60"/>
      <c r="J89" s="60"/>
      <c r="K89" s="60"/>
      <c r="L89" s="60"/>
      <c r="M89" s="60"/>
      <c r="N89" s="60"/>
      <c r="O89" s="60"/>
      <c r="P89" s="60"/>
      <c r="Q89" s="60"/>
      <c r="R89" s="60"/>
      <c r="S89" s="60"/>
      <c r="T89" s="60"/>
      <c r="U89" s="60"/>
      <c r="V89" s="60"/>
      <c r="W89" s="60"/>
      <c r="X89" s="60"/>
      <c r="Y89" s="60"/>
    </row>
    <row r="90" ht="16.5" customHeight="1" spans="1:25">
      <c r="A90" s="60"/>
      <c r="B90" s="60"/>
      <c r="C90" s="60"/>
      <c r="D90" s="60"/>
      <c r="E90" s="60"/>
      <c r="F90" s="60"/>
      <c r="G90" s="60"/>
      <c r="H90" s="60"/>
      <c r="I90" s="60"/>
      <c r="J90" s="60"/>
      <c r="K90" s="60"/>
      <c r="L90" s="60"/>
      <c r="M90" s="60"/>
      <c r="N90" s="60"/>
      <c r="O90" s="60"/>
      <c r="P90" s="60"/>
      <c r="Q90" s="60"/>
      <c r="R90" s="60"/>
      <c r="S90" s="60"/>
      <c r="T90" s="60"/>
      <c r="U90" s="60"/>
      <c r="V90" s="60"/>
      <c r="W90" s="60"/>
      <c r="X90" s="60"/>
      <c r="Y90" s="60"/>
    </row>
    <row r="91" ht="16.5" customHeight="1" spans="1:25">
      <c r="A91" s="60"/>
      <c r="B91" s="60"/>
      <c r="C91" s="60"/>
      <c r="D91" s="60"/>
      <c r="E91" s="60"/>
      <c r="F91" s="60"/>
      <c r="G91" s="60"/>
      <c r="H91" s="60"/>
      <c r="I91" s="60"/>
      <c r="J91" s="60"/>
      <c r="K91" s="60"/>
      <c r="L91" s="60"/>
      <c r="M91" s="60"/>
      <c r="N91" s="60"/>
      <c r="O91" s="60"/>
      <c r="P91" s="60"/>
      <c r="Q91" s="60"/>
      <c r="R91" s="60"/>
      <c r="S91" s="60"/>
      <c r="T91" s="60"/>
      <c r="U91" s="60"/>
      <c r="V91" s="60"/>
      <c r="W91" s="60"/>
      <c r="X91" s="60"/>
      <c r="Y91" s="60"/>
    </row>
    <row r="92" ht="16.5" customHeight="1" spans="1:25">
      <c r="A92" s="60"/>
      <c r="B92" s="60"/>
      <c r="C92" s="60"/>
      <c r="D92" s="60"/>
      <c r="E92" s="60"/>
      <c r="F92" s="60"/>
      <c r="G92" s="60"/>
      <c r="H92" s="60"/>
      <c r="I92" s="60"/>
      <c r="J92" s="60"/>
      <c r="K92" s="60"/>
      <c r="L92" s="60"/>
      <c r="M92" s="60"/>
      <c r="N92" s="60"/>
      <c r="O92" s="60"/>
      <c r="P92" s="60"/>
      <c r="Q92" s="60"/>
      <c r="R92" s="60"/>
      <c r="S92" s="60"/>
      <c r="T92" s="60"/>
      <c r="U92" s="60"/>
      <c r="V92" s="60"/>
      <c r="W92" s="60"/>
      <c r="X92" s="60"/>
      <c r="Y92" s="60"/>
    </row>
    <row r="93" ht="16.5" customHeight="1" spans="1:25">
      <c r="A93" s="60"/>
      <c r="B93" s="60"/>
      <c r="C93" s="60"/>
      <c r="D93" s="60"/>
      <c r="E93" s="60"/>
      <c r="F93" s="60"/>
      <c r="G93" s="60"/>
      <c r="H93" s="60"/>
      <c r="I93" s="60"/>
      <c r="J93" s="60"/>
      <c r="K93" s="60"/>
      <c r="L93" s="60"/>
      <c r="M93" s="60"/>
      <c r="N93" s="60"/>
      <c r="O93" s="60"/>
      <c r="P93" s="60"/>
      <c r="Q93" s="60"/>
      <c r="R93" s="60"/>
      <c r="S93" s="60"/>
      <c r="T93" s="60"/>
      <c r="U93" s="60"/>
      <c r="V93" s="60"/>
      <c r="W93" s="60"/>
      <c r="X93" s="60"/>
      <c r="Y93" s="60"/>
    </row>
    <row r="94" ht="16.5" customHeight="1" spans="1:25">
      <c r="A94" s="60"/>
      <c r="B94" s="60"/>
      <c r="C94" s="60"/>
      <c r="D94" s="60"/>
      <c r="E94" s="60"/>
      <c r="F94" s="60"/>
      <c r="G94" s="60"/>
      <c r="H94" s="60"/>
      <c r="I94" s="60"/>
      <c r="J94" s="60"/>
      <c r="K94" s="60"/>
      <c r="L94" s="60"/>
      <c r="M94" s="60"/>
      <c r="N94" s="60"/>
      <c r="O94" s="60"/>
      <c r="P94" s="60"/>
      <c r="Q94" s="60"/>
      <c r="R94" s="60"/>
      <c r="S94" s="60"/>
      <c r="T94" s="60"/>
      <c r="U94" s="60"/>
      <c r="V94" s="60"/>
      <c r="W94" s="60"/>
      <c r="X94" s="60"/>
      <c r="Y94" s="60"/>
    </row>
    <row r="95" ht="16.5" customHeight="1" spans="1:25">
      <c r="A95" s="60"/>
      <c r="B95" s="60"/>
      <c r="C95" s="60"/>
      <c r="D95" s="60"/>
      <c r="E95" s="60"/>
      <c r="F95" s="60"/>
      <c r="G95" s="60"/>
      <c r="H95" s="60"/>
      <c r="I95" s="60"/>
      <c r="J95" s="60"/>
      <c r="K95" s="60"/>
      <c r="L95" s="60"/>
      <c r="M95" s="60"/>
      <c r="N95" s="60"/>
      <c r="O95" s="60"/>
      <c r="P95" s="60"/>
      <c r="Q95" s="60"/>
      <c r="R95" s="60"/>
      <c r="S95" s="60"/>
      <c r="T95" s="60"/>
      <c r="U95" s="60"/>
      <c r="V95" s="60"/>
      <c r="W95" s="60"/>
      <c r="X95" s="60"/>
      <c r="Y95" s="60"/>
    </row>
    <row r="96" ht="16.5" customHeight="1" spans="1:25">
      <c r="A96" s="60"/>
      <c r="B96" s="60"/>
      <c r="C96" s="60"/>
      <c r="D96" s="60"/>
      <c r="E96" s="60"/>
      <c r="F96" s="60"/>
      <c r="G96" s="60"/>
      <c r="H96" s="60"/>
      <c r="I96" s="60"/>
      <c r="J96" s="60"/>
      <c r="K96" s="60"/>
      <c r="L96" s="60"/>
      <c r="M96" s="60"/>
      <c r="N96" s="60"/>
      <c r="O96" s="60"/>
      <c r="P96" s="60"/>
      <c r="Q96" s="60"/>
      <c r="R96" s="60"/>
      <c r="S96" s="60"/>
      <c r="T96" s="60"/>
      <c r="U96" s="60"/>
      <c r="V96" s="60"/>
      <c r="W96" s="60"/>
      <c r="X96" s="60"/>
      <c r="Y96" s="60"/>
    </row>
    <row r="97" ht="16.5" customHeight="1" spans="1:25">
      <c r="A97" s="60"/>
      <c r="B97" s="60"/>
      <c r="C97" s="60"/>
      <c r="D97" s="60"/>
      <c r="E97" s="60"/>
      <c r="F97" s="60"/>
      <c r="G97" s="60"/>
      <c r="H97" s="60"/>
      <c r="I97" s="60"/>
      <c r="J97" s="60"/>
      <c r="K97" s="60"/>
      <c r="L97" s="60"/>
      <c r="M97" s="60"/>
      <c r="N97" s="60"/>
      <c r="O97" s="60"/>
      <c r="P97" s="60"/>
      <c r="Q97" s="60"/>
      <c r="R97" s="60"/>
      <c r="S97" s="60"/>
      <c r="T97" s="60"/>
      <c r="U97" s="60"/>
      <c r="V97" s="60"/>
      <c r="W97" s="60"/>
      <c r="X97" s="60"/>
      <c r="Y97" s="60"/>
    </row>
    <row r="98" ht="16.5" customHeight="1" spans="1:25">
      <c r="A98" s="60"/>
      <c r="B98" s="60"/>
      <c r="C98" s="60"/>
      <c r="D98" s="60"/>
      <c r="E98" s="60"/>
      <c r="F98" s="60"/>
      <c r="G98" s="60"/>
      <c r="H98" s="60"/>
      <c r="I98" s="60"/>
      <c r="J98" s="60"/>
      <c r="K98" s="60"/>
      <c r="L98" s="60"/>
      <c r="M98" s="60"/>
      <c r="N98" s="60"/>
      <c r="O98" s="60"/>
      <c r="P98" s="60"/>
      <c r="Q98" s="60"/>
      <c r="R98" s="60"/>
      <c r="S98" s="60"/>
      <c r="T98" s="60"/>
      <c r="U98" s="60"/>
      <c r="V98" s="60"/>
      <c r="W98" s="60"/>
      <c r="X98" s="60"/>
      <c r="Y98" s="60"/>
    </row>
    <row r="99" ht="16.5" customHeight="1" spans="1:25">
      <c r="A99" s="60"/>
      <c r="B99" s="60"/>
      <c r="C99" s="60"/>
      <c r="D99" s="60"/>
      <c r="E99" s="60"/>
      <c r="F99" s="60"/>
      <c r="G99" s="60"/>
      <c r="H99" s="60"/>
      <c r="I99" s="60"/>
      <c r="J99" s="60"/>
      <c r="K99" s="60"/>
      <c r="L99" s="60"/>
      <c r="M99" s="60"/>
      <c r="N99" s="60"/>
      <c r="O99" s="60"/>
      <c r="P99" s="60"/>
      <c r="Q99" s="60"/>
      <c r="R99" s="60"/>
      <c r="S99" s="60"/>
      <c r="T99" s="60"/>
      <c r="U99" s="60"/>
      <c r="V99" s="60"/>
      <c r="W99" s="60"/>
      <c r="X99" s="60"/>
      <c r="Y99" s="60"/>
    </row>
    <row r="100" ht="16.5" customHeight="1" spans="1:25">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row>
    <row r="101" ht="16.5" customHeight="1" spans="1:25">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row>
    <row r="102" ht="16.5" customHeight="1" spans="1:25">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row>
    <row r="103" ht="16.5" customHeight="1" spans="1:25">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row>
    <row r="104" ht="16.5" customHeight="1" spans="1:25">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row>
    <row r="105" ht="16.5" customHeight="1" spans="1:2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row>
    <row r="106" ht="16.5" customHeight="1" spans="1:25">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row>
    <row r="107" ht="16.5" customHeight="1" spans="1:25">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row>
    <row r="108" ht="16.5" customHeight="1" spans="1:25">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row>
    <row r="109" ht="16.5" customHeight="1" spans="1:25">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row>
    <row r="110" ht="16.5" customHeight="1" spans="1:25">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row>
    <row r="111" ht="16.5" customHeight="1" spans="1:25">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row>
    <row r="112" ht="16.5" customHeight="1" spans="1:25">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row>
    <row r="113" ht="16.5" customHeight="1" spans="1:25">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row>
    <row r="114" ht="16.5" customHeight="1" spans="1:25">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row>
    <row r="115" ht="16.5" customHeight="1" spans="1:2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row>
    <row r="116" ht="16.5" customHeight="1" spans="1:25">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row>
    <row r="117" ht="16.5" customHeight="1" spans="1:25">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row>
    <row r="118" ht="16.5" customHeight="1" spans="1:25">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row>
    <row r="119" ht="16.5" customHeight="1" spans="1:25">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row>
    <row r="120" ht="16.5" customHeight="1" spans="1:25">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row>
    <row r="121" ht="16.5" customHeight="1" spans="1:25">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row>
    <row r="122" ht="16.5" customHeight="1" spans="1:25">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row>
    <row r="123" ht="16.5" customHeight="1" spans="1:25">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row>
    <row r="124" ht="16.5" customHeight="1" spans="1: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row>
    <row r="125" ht="16.5" customHeight="1" spans="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row>
    <row r="126" ht="16.5" customHeight="1" spans="1:25">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row>
    <row r="127" ht="16.5" customHeight="1" spans="1:25">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row>
    <row r="128" ht="16.5" customHeight="1" spans="1:25">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row>
    <row r="129" ht="16.5" customHeight="1" spans="1:25">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row>
    <row r="130" ht="16.5" customHeight="1" spans="1:25">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row>
    <row r="131" ht="16.5" customHeight="1" spans="1:25">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row>
    <row r="132" ht="16.5" customHeight="1" spans="1:25">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row>
    <row r="133" ht="16.5" customHeight="1" spans="1:25">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row>
    <row r="134" ht="16.5" customHeight="1" spans="1:25">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row>
    <row r="135" ht="16.5" customHeight="1" spans="1:2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row>
    <row r="136" ht="16.5" customHeight="1" spans="1:25">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row>
    <row r="137" ht="16.5" customHeight="1" spans="1:25">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row>
    <row r="138" ht="16.5" customHeight="1" spans="1:25">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row>
    <row r="139" ht="16.5" customHeight="1" spans="1:25">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row>
    <row r="140" ht="16.5" customHeight="1" spans="1:25">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row>
    <row r="141" ht="16.5" customHeight="1" spans="1:25">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row>
    <row r="142" ht="16.5" customHeight="1" spans="1:25">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row>
    <row r="143" ht="16.5" customHeight="1" spans="1:25">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row>
    <row r="144" ht="16.5" customHeight="1" spans="1:25">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row>
    <row r="145" ht="16.5" customHeight="1" spans="1:2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row>
    <row r="146" ht="16.5" customHeight="1" spans="1:25">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row>
    <row r="147" ht="16.5" customHeight="1" spans="1:25">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row>
    <row r="148" ht="16.5" customHeight="1" spans="1:25">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row>
    <row r="149" ht="16.5" customHeight="1" spans="1:25">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row>
    <row r="150" ht="16.5" customHeight="1" spans="1:25">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row>
    <row r="151" ht="16.5" customHeight="1" spans="1:25">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row>
    <row r="152" ht="16.5" customHeight="1" spans="1:25">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row>
    <row r="153" ht="16.5" customHeight="1" spans="1:25">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row>
    <row r="154" ht="16.5" customHeight="1" spans="1:25">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row>
    <row r="155" ht="16.5" customHeight="1" spans="1:2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row>
    <row r="156" ht="16.5" customHeight="1" spans="1:25">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row>
    <row r="157" ht="16.5" customHeight="1" spans="1:25">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row>
    <row r="158" ht="16.5" customHeight="1" spans="1:25">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row>
    <row r="159" ht="16.5" customHeight="1" spans="1:25">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row>
    <row r="160" ht="16.5" customHeight="1" spans="1:25">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row>
    <row r="161" ht="16.5" customHeight="1" spans="1:25">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row>
    <row r="162" ht="16.5" customHeight="1" spans="1:25">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row>
    <row r="163" ht="16.5" customHeight="1" spans="1:25">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row>
    <row r="164" ht="16.5" customHeight="1" spans="1:25">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row>
    <row r="165" ht="16.5" customHeight="1" spans="1:2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row>
    <row r="166" ht="16.5" customHeight="1" spans="1:25">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row>
    <row r="167" ht="16.5" customHeight="1" spans="1:25">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row>
    <row r="168" ht="16.5" customHeight="1" spans="1:25">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row>
    <row r="169" ht="16.5" customHeight="1" spans="1:25">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row>
    <row r="170" ht="16.5" customHeight="1" spans="1:25">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row>
    <row r="171" ht="16.5" customHeight="1" spans="1:25">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row>
    <row r="172" ht="16.5" customHeight="1" spans="1:25">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row>
    <row r="173" ht="16.5" customHeight="1" spans="1:25">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row>
    <row r="174" ht="16.5" customHeight="1" spans="1:25">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row>
    <row r="175" ht="16.5" customHeight="1" spans="1:2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row>
    <row r="176" ht="16.5" customHeight="1" spans="1:25">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row>
    <row r="177" ht="16.5" customHeight="1" spans="1:25">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row>
    <row r="178" ht="16.5" customHeight="1" spans="1:25">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row>
    <row r="179" ht="16.5" customHeight="1" spans="1:25">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row>
    <row r="180" ht="16.5" customHeight="1" spans="1:25">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row>
    <row r="181" ht="16.5" customHeight="1" spans="1:25">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row>
    <row r="182" ht="16.5" customHeight="1" spans="1:25">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row>
    <row r="183" ht="16.5" customHeight="1" spans="1:25">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row>
    <row r="184" ht="16.5" customHeight="1" spans="1:25">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row>
    <row r="185" ht="16.5" customHeight="1" spans="1:2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row>
    <row r="186" ht="16.5" customHeight="1" spans="1:25">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row>
    <row r="187" ht="16.5" customHeight="1" spans="1:25">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row>
    <row r="188" ht="16.5" customHeight="1" spans="1:25">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row>
    <row r="189" ht="16.5" customHeight="1" spans="1:25">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row>
    <row r="190" ht="16.5" customHeight="1" spans="1:25">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row>
    <row r="191" ht="16.5" customHeight="1" spans="1:25">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row>
    <row r="192" ht="16.5" customHeight="1" spans="1:25">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row>
    <row r="193" ht="16.5" customHeight="1" spans="1:25">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row>
    <row r="194" ht="16.5" customHeight="1" spans="1:25">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row>
    <row r="195" ht="16.5" customHeight="1" spans="1:2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row>
    <row r="196" ht="16.5" customHeight="1" spans="1:25">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row>
    <row r="197" ht="16.5" customHeight="1" spans="1:25">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row>
    <row r="198" ht="16.5" customHeight="1" spans="1:25">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row>
    <row r="199" ht="16.5" customHeight="1" spans="1:25">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row>
    <row r="200" ht="16.5" customHeight="1" spans="1:25">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row>
    <row r="201" ht="16.5" customHeight="1" spans="1:25">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row>
    <row r="202" ht="16.5" customHeight="1" spans="1:25">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row>
    <row r="203" ht="16.5" customHeight="1" spans="1:25">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row>
    <row r="204" ht="16.5" customHeight="1" spans="1:25">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row>
    <row r="205" ht="16.5" customHeight="1" spans="1:2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row>
    <row r="206" ht="16.5" customHeight="1" spans="1:25">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row>
    <row r="207" ht="16.5" customHeight="1" spans="1:25">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row>
    <row r="208" ht="16.5" customHeight="1" spans="1:25">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row>
    <row r="209" ht="16.5" customHeight="1" spans="1:25">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row>
    <row r="210" ht="16.5" customHeight="1" spans="1:25">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row>
    <row r="211" ht="16.5" customHeight="1" spans="1:25">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row>
    <row r="212" ht="16.5" customHeight="1" spans="1:25">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row>
    <row r="213" ht="16.5" customHeight="1" spans="1:25">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row>
    <row r="214" ht="16.5" customHeight="1" spans="1:25">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row>
    <row r="215" ht="16.5" customHeight="1" spans="1:2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row>
    <row r="216" ht="16.5" customHeight="1" spans="1:25">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row>
    <row r="217" ht="16.5" customHeight="1" spans="1:25">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row>
    <row r="218" ht="16.5" customHeight="1" spans="1:25">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row>
    <row r="219" ht="16.5" customHeight="1" spans="1:25">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row>
    <row r="220" ht="16.5" customHeight="1" spans="1:25">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row>
    <row r="221" ht="16.5" customHeight="1" spans="1:25">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4:D4"/>
    <mergeCell ref="C5:D5"/>
    <mergeCell ref="C6:D6"/>
    <mergeCell ref="C7:D7"/>
    <mergeCell ref="C13:D13"/>
  </mergeCells>
  <pageMargins left="0.7" right="0.7" top="0.75" bottom="0.75" header="0.511811023622047" footer="0.511811023622047"/>
  <pageSetup paperSize="1"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M1050"/>
  <sheetViews>
    <sheetView showGridLines="0" tabSelected="1" workbookViewId="0">
      <pane xSplit="2" ySplit="8" topLeftCell="D36" activePane="bottomRight" state="frozen"/>
      <selection/>
      <selection pane="topRight"/>
      <selection pane="bottomLeft"/>
      <selection pane="bottomRight" activeCell="L39" sqref="L39"/>
    </sheetView>
  </sheetViews>
  <sheetFormatPr defaultColWidth="12.6285714285714" defaultRowHeight="12.75"/>
  <cols>
    <col min="1" max="1" width="14.3809523809524" customWidth="1"/>
    <col min="2" max="2" width="28.3809523809524" customWidth="1"/>
    <col min="3" max="3" width="23.3809523809524" customWidth="1"/>
    <col min="4" max="4" width="32.8761904761905" customWidth="1"/>
    <col min="5" max="5" width="15.752380952381" customWidth="1"/>
    <col min="6" max="6" width="42" customWidth="1"/>
    <col min="7" max="7" width="9.38095238095238" customWidth="1"/>
    <col min="8" max="8" width="10.8761904761905" customWidth="1"/>
    <col min="9" max="10" width="8" customWidth="1"/>
    <col min="11" max="11" width="9.52380952380952" customWidth="1"/>
    <col min="12" max="12" width="24.247619047619" style="23" customWidth="1"/>
  </cols>
  <sheetData>
    <row r="1" ht="15.75" customHeight="1" spans="1:13">
      <c r="A1" s="24" t="s">
        <v>11</v>
      </c>
      <c r="B1" s="25" t="s">
        <v>12</v>
      </c>
      <c r="C1" s="25"/>
      <c r="D1" s="25"/>
      <c r="E1" s="25"/>
      <c r="F1" s="25"/>
      <c r="G1" s="25"/>
      <c r="H1" s="26"/>
      <c r="I1" s="26"/>
      <c r="J1" s="26"/>
      <c r="K1" s="27"/>
    </row>
    <row r="2" ht="15.75" customHeight="1" spans="1:13">
      <c r="A2" s="24" t="s">
        <v>13</v>
      </c>
      <c r="B2" s="28" t="s">
        <v>14</v>
      </c>
      <c r="C2" s="25"/>
      <c r="D2" s="25"/>
      <c r="E2" s="25"/>
      <c r="F2" s="25"/>
      <c r="G2" s="25"/>
      <c r="H2" s="26"/>
      <c r="I2" s="26"/>
      <c r="J2" s="26"/>
      <c r="K2" s="27"/>
    </row>
    <row r="3" ht="15.75" customHeight="1" spans="1:13">
      <c r="A3" s="24" t="s">
        <v>15</v>
      </c>
      <c r="B3" s="29" t="s">
        <v>16</v>
      </c>
      <c r="C3" s="29"/>
      <c r="D3" s="29"/>
      <c r="E3" s="29"/>
      <c r="F3" s="29"/>
      <c r="G3" s="29"/>
      <c r="H3" s="26"/>
      <c r="I3" s="26"/>
      <c r="J3" s="26"/>
      <c r="K3" s="27"/>
    </row>
    <row r="4" ht="15.75" customHeight="1" spans="1:13">
      <c r="A4" s="24" t="s">
        <v>17</v>
      </c>
      <c r="B4" s="30" t="s">
        <v>18</v>
      </c>
      <c r="C4" s="30" t="s">
        <v>19</v>
      </c>
      <c r="D4" s="30" t="s">
        <v>20</v>
      </c>
      <c r="E4" s="30" t="s">
        <v>21</v>
      </c>
      <c r="F4" s="30" t="s">
        <v>22</v>
      </c>
      <c r="G4" s="30" t="s">
        <v>23</v>
      </c>
      <c r="H4" s="26"/>
      <c r="I4" s="26"/>
      <c r="J4" s="26"/>
      <c r="K4" s="27"/>
    </row>
    <row r="5" ht="15.75" customHeight="1" spans="1:13">
      <c r="A5" s="31">
        <f>(COUNTIFS(A9:A67,"TC_*")*2)</f>
        <v>84</v>
      </c>
      <c r="B5" s="31">
        <f>COUNTIFS(I:J,"Pass")</f>
        <v>71</v>
      </c>
      <c r="C5" s="31">
        <f>COUNTIFS(I:J,"Fail")</f>
        <v>0</v>
      </c>
      <c r="D5" s="31">
        <f>COUNTIFS(I:J,"N/A")</f>
        <v>0</v>
      </c>
      <c r="E5" s="31">
        <f>COUNTIFS(I:J,"pending")</f>
        <v>1</v>
      </c>
      <c r="F5" s="32">
        <f>COUNTIFS(I:J,"todo")</f>
        <v>12</v>
      </c>
      <c r="G5" s="31">
        <f>COUNTIFS(I:J,"re-test")</f>
        <v>0</v>
      </c>
      <c r="H5" s="33"/>
      <c r="I5" s="33"/>
      <c r="J5" s="33"/>
      <c r="K5" s="34"/>
    </row>
    <row r="6" spans="1:13">
      <c r="A6" s="35"/>
      <c r="B6" s="35"/>
      <c r="C6" s="35"/>
      <c r="D6" s="35"/>
      <c r="E6" s="35"/>
      <c r="F6" s="36"/>
      <c r="G6" s="36"/>
      <c r="H6" s="36"/>
      <c r="I6" s="37" t="s">
        <v>24</v>
      </c>
      <c r="J6" s="16"/>
      <c r="K6" s="17"/>
      <c r="L6" s="38" t="s">
        <v>25</v>
      </c>
      <c r="M6" s="39" t="s">
        <v>26</v>
      </c>
    </row>
    <row r="7" ht="15.75" customHeight="1" spans="1:13">
      <c r="A7" s="35" t="s">
        <v>27</v>
      </c>
      <c r="B7" s="35" t="s">
        <v>28</v>
      </c>
      <c r="C7" s="35" t="s">
        <v>29</v>
      </c>
      <c r="D7" s="35" t="s">
        <v>30</v>
      </c>
      <c r="E7" s="36" t="s">
        <v>31</v>
      </c>
      <c r="F7" s="36" t="s">
        <v>32</v>
      </c>
      <c r="G7" s="36" t="s">
        <v>33</v>
      </c>
      <c r="H7" s="36" t="s">
        <v>34</v>
      </c>
      <c r="I7" s="37" t="s">
        <v>35</v>
      </c>
      <c r="J7" s="17"/>
      <c r="K7" s="40" t="s">
        <v>36</v>
      </c>
      <c r="L7" s="6"/>
      <c r="M7" s="41"/>
    </row>
    <row r="8" ht="25.5" customHeight="1" spans="1:13">
      <c r="A8" s="42"/>
      <c r="B8" s="42"/>
      <c r="C8" s="42"/>
      <c r="D8" s="42"/>
      <c r="E8" s="42"/>
      <c r="F8" s="42"/>
      <c r="G8" s="42"/>
      <c r="H8" s="42"/>
      <c r="I8" s="43" t="s">
        <v>37</v>
      </c>
      <c r="J8" s="43" t="s">
        <v>38</v>
      </c>
      <c r="K8" s="44"/>
      <c r="L8" s="7"/>
      <c r="M8" s="45"/>
    </row>
    <row r="9" ht="15.75" customHeight="1" spans="1:13">
      <c r="A9" s="46" t="s">
        <v>39</v>
      </c>
      <c r="B9" s="47"/>
    </row>
    <row r="10" ht="15.75" customHeight="1" spans="1:13">
      <c r="A10" s="48" t="s">
        <v>40</v>
      </c>
      <c r="B10" s="47"/>
    </row>
    <row r="11" ht="135.8" customHeight="1" spans="1:13">
      <c r="A11" s="20" t="str">
        <f>IF(I11&gt;0,$B$3&amp;"_"&amp;SUBTOTAL(3,$I$9:I11),"")</f>
        <v>TC_APP_OnThi_DanhSachDe_1</v>
      </c>
      <c r="B11" s="20" t="s">
        <v>41</v>
      </c>
      <c r="C11" s="20" t="s">
        <v>42</v>
      </c>
      <c r="D11" s="20" t="s">
        <v>43</v>
      </c>
      <c r="E11" s="20" t="s">
        <v>44</v>
      </c>
      <c r="F11" s="20" t="s">
        <v>45</v>
      </c>
      <c r="G11" s="20" t="s">
        <v>46</v>
      </c>
      <c r="H11" s="20" t="s">
        <v>47</v>
      </c>
      <c r="I11" s="20" t="s">
        <v>18</v>
      </c>
      <c r="J11" s="20" t="s">
        <v>18</v>
      </c>
      <c r="K11" s="49"/>
      <c r="L11" s="50" t="s">
        <v>48</v>
      </c>
    </row>
    <row r="12" ht="72" customHeight="1" spans="1:13">
      <c r="A12" s="20" t="str">
        <f>IF(I12&gt;0,$B$3&amp;"_"&amp;SUBTOTAL(3,$I$9:I12),"")</f>
        <v>TC_APP_OnThi_DanhSachDe_2</v>
      </c>
      <c r="B12" s="20" t="s">
        <v>49</v>
      </c>
      <c r="C12" s="20" t="s">
        <v>50</v>
      </c>
      <c r="D12" s="20" t="s">
        <v>51</v>
      </c>
      <c r="E12" s="20" t="s">
        <v>44</v>
      </c>
      <c r="F12" s="20" t="s">
        <v>52</v>
      </c>
      <c r="G12" s="20" t="s">
        <v>46</v>
      </c>
      <c r="H12" s="20" t="s">
        <v>47</v>
      </c>
      <c r="I12" s="20" t="s">
        <v>18</v>
      </c>
      <c r="J12" s="20" t="s">
        <v>18</v>
      </c>
      <c r="K12" s="49"/>
      <c r="L12" s="20" t="s">
        <v>53</v>
      </c>
    </row>
    <row r="13" ht="81" customHeight="1" spans="1:13">
      <c r="A13" s="20" t="str">
        <f>IF(I13&gt;0,$B$3&amp;"_"&amp;SUBTOTAL(3,$I$9:I13),"")</f>
        <v>TC_APP_OnThi_DanhSachDe_3</v>
      </c>
      <c r="B13" s="20" t="s">
        <v>54</v>
      </c>
      <c r="C13" s="20" t="s">
        <v>55</v>
      </c>
      <c r="D13" s="20" t="s">
        <v>56</v>
      </c>
      <c r="E13" s="20" t="s">
        <v>44</v>
      </c>
      <c r="F13" s="20" t="s">
        <v>57</v>
      </c>
      <c r="G13" s="20" t="s">
        <v>46</v>
      </c>
      <c r="H13" s="20" t="s">
        <v>47</v>
      </c>
      <c r="I13" s="20" t="s">
        <v>18</v>
      </c>
      <c r="J13" s="20" t="s">
        <v>18</v>
      </c>
      <c r="K13" s="49"/>
      <c r="L13" s="20" t="s">
        <v>58</v>
      </c>
    </row>
    <row r="14" ht="57.45" customHeight="1" spans="1:13">
      <c r="A14" s="20" t="str">
        <f>IF(I14&gt;0,$B$3&amp;"_"&amp;SUBTOTAL(3,$I$9:I14),"")</f>
        <v>TC_APP_OnThi_DanhSachDe_4</v>
      </c>
      <c r="B14" s="20" t="s">
        <v>59</v>
      </c>
      <c r="C14" s="20" t="s">
        <v>60</v>
      </c>
      <c r="D14" s="20" t="s">
        <v>61</v>
      </c>
      <c r="E14" s="20" t="s">
        <v>44</v>
      </c>
      <c r="F14" s="20" t="s">
        <v>62</v>
      </c>
      <c r="G14" s="20" t="s">
        <v>63</v>
      </c>
      <c r="H14" s="20" t="s">
        <v>47</v>
      </c>
      <c r="I14" s="20" t="s">
        <v>18</v>
      </c>
      <c r="J14" s="20" t="s">
        <v>18</v>
      </c>
      <c r="K14" s="49"/>
      <c r="L14" s="51" t="s">
        <v>64</v>
      </c>
    </row>
    <row r="15" ht="57.45" customHeight="1" spans="1:13">
      <c r="A15" s="20" t="str">
        <f>IF(I15&gt;0,$B$3&amp;"_"&amp;SUBTOTAL(3,$I$9:I15),"")</f>
        <v>TC_APP_OnThi_DanhSachDe_5</v>
      </c>
      <c r="B15" s="20" t="s">
        <v>65</v>
      </c>
      <c r="C15" s="20" t="s">
        <v>66</v>
      </c>
      <c r="D15" s="20" t="s">
        <v>43</v>
      </c>
      <c r="E15" s="20" t="s">
        <v>44</v>
      </c>
      <c r="F15" s="20" t="s">
        <v>67</v>
      </c>
      <c r="G15" s="20" t="s">
        <v>63</v>
      </c>
      <c r="H15" s="20" t="s">
        <v>68</v>
      </c>
      <c r="I15" s="20" t="s">
        <v>18</v>
      </c>
      <c r="J15" s="20" t="s">
        <v>18</v>
      </c>
      <c r="K15" s="49"/>
      <c r="L15" s="52" t="s">
        <v>69</v>
      </c>
    </row>
    <row r="16" ht="44" customHeight="1" spans="1:13">
      <c r="A16" s="20" t="str">
        <f>IF(I16&gt;0,$B$3&amp;"_"&amp;SUBTOTAL(3,$I$9:I16),"")</f>
        <v>TC_APP_OnThi_DanhSachDe_6</v>
      </c>
      <c r="B16" s="20" t="s">
        <v>70</v>
      </c>
      <c r="C16" s="20" t="s">
        <v>71</v>
      </c>
      <c r="D16" s="20" t="s">
        <v>72</v>
      </c>
      <c r="E16" s="20" t="s">
        <v>44</v>
      </c>
      <c r="F16" s="20" t="s">
        <v>73</v>
      </c>
      <c r="G16" s="20" t="s">
        <v>74</v>
      </c>
      <c r="H16" s="20" t="s">
        <v>68</v>
      </c>
      <c r="I16" s="20" t="s">
        <v>18</v>
      </c>
      <c r="J16" s="20" t="s">
        <v>18</v>
      </c>
      <c r="K16" s="49"/>
      <c r="L16" s="52" t="s">
        <v>75</v>
      </c>
    </row>
    <row r="17" ht="18" customHeight="1" spans="1:12">
      <c r="A17" s="48" t="s">
        <v>76</v>
      </c>
      <c r="B17" s="47"/>
    </row>
    <row r="18" ht="63" customHeight="1" spans="1:12">
      <c r="A18" s="20" t="str">
        <f>IF(I18&gt;0,$B$3&amp;"_"&amp;SUBTOTAL(3,$I$9:I18),"")</f>
        <v>TC_APP_OnThi_DanhSachDe_7</v>
      </c>
      <c r="B18" s="20" t="s">
        <v>77</v>
      </c>
      <c r="C18" s="20" t="s">
        <v>78</v>
      </c>
      <c r="D18" s="20" t="s">
        <v>79</v>
      </c>
      <c r="E18" s="20" t="s">
        <v>44</v>
      </c>
      <c r="F18" s="20" t="s">
        <v>80</v>
      </c>
      <c r="G18" s="20" t="s">
        <v>46</v>
      </c>
      <c r="H18" s="20" t="s">
        <v>47</v>
      </c>
      <c r="I18" s="20" t="s">
        <v>18</v>
      </c>
      <c r="J18" s="20" t="s">
        <v>18</v>
      </c>
      <c r="K18" s="49"/>
      <c r="L18" s="53" t="s">
        <v>81</v>
      </c>
    </row>
    <row r="19" ht="63" customHeight="1" spans="1:12">
      <c r="A19" s="20" t="str">
        <f>IF(I19&gt;0,$B$3&amp;"_"&amp;SUBTOTAL(3,$I$9:I19),"")</f>
        <v>TC_APP_OnThi_DanhSachDe_8</v>
      </c>
      <c r="B19" s="20" t="s">
        <v>82</v>
      </c>
      <c r="C19" s="20" t="s">
        <v>83</v>
      </c>
      <c r="D19" s="20" t="s">
        <v>84</v>
      </c>
      <c r="E19" s="20" t="s">
        <v>44</v>
      </c>
      <c r="F19" s="20" t="s">
        <v>85</v>
      </c>
      <c r="G19" s="20" t="s">
        <v>46</v>
      </c>
      <c r="H19" s="20" t="s">
        <v>47</v>
      </c>
      <c r="I19" s="20" t="s">
        <v>18</v>
      </c>
      <c r="J19" s="20" t="s">
        <v>18</v>
      </c>
      <c r="K19" s="49"/>
      <c r="L19" s="54" t="s">
        <v>86</v>
      </c>
    </row>
    <row r="20" ht="63" customHeight="1" spans="1:12">
      <c r="A20" s="20" t="str">
        <f>IF(I20&gt;0,$B$3&amp;"_"&amp;SUBTOTAL(3,$I$9:I20),"")</f>
        <v>TC_APP_OnThi_DanhSachDe_9</v>
      </c>
      <c r="B20" s="20" t="s">
        <v>87</v>
      </c>
      <c r="C20" s="20" t="s">
        <v>88</v>
      </c>
      <c r="D20" s="20" t="s">
        <v>89</v>
      </c>
      <c r="E20" s="20" t="s">
        <v>44</v>
      </c>
      <c r="F20" s="20" t="s">
        <v>90</v>
      </c>
      <c r="G20" s="20" t="s">
        <v>46</v>
      </c>
      <c r="H20" s="20" t="s">
        <v>47</v>
      </c>
      <c r="I20" s="20" t="s">
        <v>18</v>
      </c>
      <c r="J20" s="20" t="s">
        <v>18</v>
      </c>
      <c r="K20" s="49"/>
      <c r="L20" s="20" t="s">
        <v>91</v>
      </c>
    </row>
    <row r="21" ht="51.75" customHeight="1" spans="1:12">
      <c r="A21" s="20" t="str">
        <f>IF(I21&gt;0,$B$3&amp;"_"&amp;SUBTOTAL(3,$I$9:I21),"")</f>
        <v>TC_APP_OnThi_DanhSachDe_10</v>
      </c>
      <c r="B21" s="20" t="s">
        <v>92</v>
      </c>
      <c r="C21" s="20" t="s">
        <v>93</v>
      </c>
      <c r="D21" s="20" t="s">
        <v>94</v>
      </c>
      <c r="E21" s="20" t="s">
        <v>44</v>
      </c>
      <c r="F21" s="20" t="s">
        <v>95</v>
      </c>
      <c r="G21" s="20" t="s">
        <v>46</v>
      </c>
      <c r="H21" s="20" t="s">
        <v>47</v>
      </c>
      <c r="I21" s="20" t="s">
        <v>18</v>
      </c>
      <c r="J21" s="20" t="s">
        <v>18</v>
      </c>
      <c r="K21" s="49"/>
      <c r="L21" s="20" t="s">
        <v>96</v>
      </c>
    </row>
    <row r="22" ht="40.5" customHeight="1" spans="1:12">
      <c r="A22" s="20" t="str">
        <f>IF(I22&gt;0,$B$3&amp;"_"&amp;SUBTOTAL(3,$I$9:I22),"")</f>
        <v>TC_APP_OnThi_DanhSachDe_11</v>
      </c>
      <c r="B22" s="20" t="s">
        <v>97</v>
      </c>
      <c r="C22" s="20" t="s">
        <v>98</v>
      </c>
      <c r="D22" s="20" t="s">
        <v>99</v>
      </c>
      <c r="E22" s="20" t="s">
        <v>44</v>
      </c>
      <c r="F22" s="20" t="s">
        <v>100</v>
      </c>
      <c r="G22" s="20" t="s">
        <v>63</v>
      </c>
      <c r="H22" s="20" t="s">
        <v>47</v>
      </c>
      <c r="I22" s="20" t="s">
        <v>18</v>
      </c>
      <c r="J22" s="20" t="s">
        <v>18</v>
      </c>
      <c r="K22" s="49"/>
      <c r="L22" s="20" t="s">
        <v>101</v>
      </c>
    </row>
    <row r="23" ht="63" customHeight="1" spans="1:12">
      <c r="A23" s="20" t="str">
        <f>IF(I23&gt;0,$B$3&amp;"_"&amp;SUBTOTAL(3,$I$9:I23),"")</f>
        <v>TC_APP_OnThi_DanhSachDe_12</v>
      </c>
      <c r="B23" s="20" t="s">
        <v>102</v>
      </c>
      <c r="C23" s="20" t="s">
        <v>103</v>
      </c>
      <c r="D23" s="20" t="s">
        <v>104</v>
      </c>
      <c r="E23" s="20" t="s">
        <v>44</v>
      </c>
      <c r="F23" s="20" t="s">
        <v>105</v>
      </c>
      <c r="G23" s="20" t="s">
        <v>63</v>
      </c>
      <c r="H23" s="20" t="s">
        <v>68</v>
      </c>
      <c r="I23" s="20" t="s">
        <v>18</v>
      </c>
      <c r="J23" s="20" t="s">
        <v>18</v>
      </c>
      <c r="K23" s="49"/>
      <c r="L23" s="20" t="s">
        <v>106</v>
      </c>
    </row>
    <row r="24" ht="123" customHeight="1" spans="1:12">
      <c r="A24" s="20" t="str">
        <f>IF(I24&gt;0,$B$3&amp;"_"&amp;SUBTOTAL(3,$I$9:I24),"")</f>
        <v>TC_APP_OnThi_DanhSachDe_13</v>
      </c>
      <c r="B24" s="20" t="s">
        <v>107</v>
      </c>
      <c r="C24" s="20" t="s">
        <v>108</v>
      </c>
      <c r="D24" s="20" t="s">
        <v>109</v>
      </c>
      <c r="E24" s="20" t="s">
        <v>44</v>
      </c>
      <c r="F24" s="20" t="s">
        <v>110</v>
      </c>
      <c r="G24" s="20" t="s">
        <v>46</v>
      </c>
      <c r="H24" s="20" t="s">
        <v>47</v>
      </c>
      <c r="I24" s="20" t="s">
        <v>18</v>
      </c>
      <c r="J24" s="20" t="s">
        <v>18</v>
      </c>
      <c r="K24" s="49"/>
      <c r="L24" s="20" t="s">
        <v>111</v>
      </c>
    </row>
    <row r="25" ht="15.75" customHeight="1" spans="1:12">
      <c r="A25" s="48" t="s">
        <v>112</v>
      </c>
      <c r="B25" s="47"/>
    </row>
    <row r="26" ht="46.5" customHeight="1" spans="1:12">
      <c r="A26" s="20" t="str">
        <f>IF(I26&gt;0,$B$3&amp;"_"&amp;SUBTOTAL(3,$I$9:I26),"")</f>
        <v>TC_APP_OnThi_DanhSachDe_14</v>
      </c>
      <c r="B26" s="20" t="s">
        <v>113</v>
      </c>
      <c r="C26" s="20" t="s">
        <v>114</v>
      </c>
      <c r="D26" s="20" t="s">
        <v>115</v>
      </c>
      <c r="E26" s="20" t="s">
        <v>44</v>
      </c>
      <c r="F26" s="20" t="s">
        <v>116</v>
      </c>
      <c r="G26" s="20" t="s">
        <v>46</v>
      </c>
      <c r="H26" s="20" t="s">
        <v>47</v>
      </c>
      <c r="I26" s="20" t="s">
        <v>18</v>
      </c>
      <c r="J26" s="20" t="s">
        <v>18</v>
      </c>
      <c r="K26" s="49"/>
      <c r="L26" s="20" t="s">
        <v>117</v>
      </c>
    </row>
    <row r="27" ht="57.45" customHeight="1" spans="1:12">
      <c r="A27" s="20" t="str">
        <f>IF(I27&gt;0,$B$3&amp;"_"&amp;SUBTOTAL(3,$I$9:I27),"")</f>
        <v>TC_APP_OnThi_DanhSachDe_15</v>
      </c>
      <c r="B27" s="20" t="s">
        <v>118</v>
      </c>
      <c r="C27" s="20" t="s">
        <v>119</v>
      </c>
      <c r="D27" s="20" t="s">
        <v>120</v>
      </c>
      <c r="E27" s="20" t="s">
        <v>44</v>
      </c>
      <c r="F27" s="20" t="s">
        <v>121</v>
      </c>
      <c r="G27" s="20" t="s">
        <v>63</v>
      </c>
      <c r="H27" s="20" t="s">
        <v>68</v>
      </c>
      <c r="I27" s="20" t="s">
        <v>18</v>
      </c>
      <c r="J27" s="20" t="s">
        <v>18</v>
      </c>
      <c r="K27" s="49"/>
      <c r="L27" s="20" t="s">
        <v>122</v>
      </c>
    </row>
    <row r="28" ht="57.45" customHeight="1" spans="1:12">
      <c r="A28" s="20" t="str">
        <f>IF(I28&gt;0,$B$3&amp;"_"&amp;SUBTOTAL(3,$I$9:I28),"")</f>
        <v>TC_APP_OnThi_DanhSachDe_16</v>
      </c>
      <c r="B28" s="20" t="s">
        <v>123</v>
      </c>
      <c r="C28" s="20" t="s">
        <v>124</v>
      </c>
      <c r="D28" s="20" t="s">
        <v>125</v>
      </c>
      <c r="E28" s="20" t="s">
        <v>44</v>
      </c>
      <c r="F28" s="20" t="s">
        <v>126</v>
      </c>
      <c r="G28" s="20" t="s">
        <v>46</v>
      </c>
      <c r="H28" s="20" t="s">
        <v>47</v>
      </c>
      <c r="I28" s="20" t="s">
        <v>18</v>
      </c>
      <c r="J28" s="20" t="s">
        <v>18</v>
      </c>
      <c r="K28" s="49"/>
      <c r="L28" s="20" t="s">
        <v>127</v>
      </c>
    </row>
    <row r="29" ht="78" customHeight="1" spans="1:12">
      <c r="A29" s="20" t="str">
        <f>IF(I29&gt;0,$B$3&amp;"_"&amp;SUBTOTAL(3,$I$9:I29),"")</f>
        <v>TC_APP_OnThi_DanhSachDe_17</v>
      </c>
      <c r="B29" s="20" t="s">
        <v>128</v>
      </c>
      <c r="C29" s="20" t="s">
        <v>129</v>
      </c>
      <c r="D29" s="20" t="s">
        <v>130</v>
      </c>
      <c r="E29" s="20" t="s">
        <v>44</v>
      </c>
      <c r="F29" s="20" t="s">
        <v>131</v>
      </c>
      <c r="G29" s="20" t="s">
        <v>46</v>
      </c>
      <c r="H29" s="20" t="s">
        <v>47</v>
      </c>
      <c r="I29" s="20" t="s">
        <v>18</v>
      </c>
      <c r="J29" s="20" t="s">
        <v>18</v>
      </c>
      <c r="K29" s="49"/>
      <c r="L29" s="20" t="s">
        <v>132</v>
      </c>
    </row>
    <row r="30" ht="27" customHeight="1" spans="1:12">
      <c r="A30" s="46" t="s">
        <v>133</v>
      </c>
      <c r="B30" s="47"/>
    </row>
    <row r="31" ht="17" customHeight="1" spans="1:12">
      <c r="A31" s="48" t="s">
        <v>134</v>
      </c>
      <c r="B31" s="47"/>
    </row>
    <row r="32" ht="60" customHeight="1" spans="1:12">
      <c r="A32" s="20" t="str">
        <f>IF(I32&gt;0,$B$3&amp;"_"&amp;SUBTOTAL(3,$I$9:I32),"")</f>
        <v>TC_APP_OnThi_DanhSachDe_18</v>
      </c>
      <c r="B32" s="20" t="s">
        <v>135</v>
      </c>
      <c r="C32" s="20" t="s">
        <v>136</v>
      </c>
      <c r="D32" s="20" t="s">
        <v>137</v>
      </c>
      <c r="E32" s="20" t="s">
        <v>44</v>
      </c>
      <c r="F32" s="20" t="s">
        <v>138</v>
      </c>
      <c r="G32" s="20" t="s">
        <v>46</v>
      </c>
      <c r="H32" s="20" t="s">
        <v>47</v>
      </c>
      <c r="I32" s="20" t="s">
        <v>18</v>
      </c>
      <c r="J32" s="20" t="s">
        <v>18</v>
      </c>
      <c r="K32" s="49"/>
      <c r="L32" s="20" t="s">
        <v>139</v>
      </c>
    </row>
    <row r="33" ht="60" customHeight="1" spans="1:12">
      <c r="A33" s="20" t="str">
        <f>IF(I33&gt;0,$B$3&amp;"_"&amp;SUBTOTAL(3,$I$9:I33),"")</f>
        <v>TC_APP_OnThi_DanhSachDe_19</v>
      </c>
      <c r="B33" s="20" t="s">
        <v>140</v>
      </c>
      <c r="C33" s="20" t="s">
        <v>141</v>
      </c>
      <c r="D33" s="20" t="s">
        <v>137</v>
      </c>
      <c r="E33" s="20" t="s">
        <v>44</v>
      </c>
      <c r="F33" s="20" t="s">
        <v>142</v>
      </c>
      <c r="G33" s="20" t="s">
        <v>46</v>
      </c>
      <c r="H33" s="20" t="s">
        <v>47</v>
      </c>
      <c r="I33" s="20" t="s">
        <v>18</v>
      </c>
      <c r="J33" s="20" t="s">
        <v>18</v>
      </c>
      <c r="K33" s="49"/>
      <c r="L33" s="20" t="s">
        <v>143</v>
      </c>
    </row>
    <row r="34" ht="54" customHeight="1" spans="1:12">
      <c r="A34" s="20" t="str">
        <f>IF(I34&gt;0,$B$3&amp;"_"&amp;SUBTOTAL(3,$I$9:I34),"")</f>
        <v>TC_APP_OnThi_DanhSachDe_20</v>
      </c>
      <c r="B34" s="20" t="s">
        <v>144</v>
      </c>
      <c r="C34" s="20" t="s">
        <v>145</v>
      </c>
      <c r="D34" s="20" t="s">
        <v>146</v>
      </c>
      <c r="E34" s="20" t="s">
        <v>44</v>
      </c>
      <c r="F34" s="20" t="s">
        <v>147</v>
      </c>
      <c r="G34" s="20" t="s">
        <v>46</v>
      </c>
      <c r="H34" s="20" t="s">
        <v>47</v>
      </c>
      <c r="I34" s="20" t="s">
        <v>18</v>
      </c>
      <c r="J34" s="20" t="s">
        <v>18</v>
      </c>
      <c r="K34" s="49"/>
      <c r="L34" s="20"/>
    </row>
    <row r="35" ht="108" customHeight="1" spans="1:12">
      <c r="A35" s="20" t="str">
        <f>IF(I35&gt;0,$B$3&amp;"_"&amp;SUBTOTAL(3,$I$9:I35),"")</f>
        <v>TC_APP_OnThi_DanhSachDe_21</v>
      </c>
      <c r="B35" s="20" t="s">
        <v>148</v>
      </c>
      <c r="C35" s="20" t="s">
        <v>149</v>
      </c>
      <c r="D35" s="20" t="s">
        <v>150</v>
      </c>
      <c r="E35" s="20" t="s">
        <v>44</v>
      </c>
      <c r="F35" s="20" t="s">
        <v>151</v>
      </c>
      <c r="G35" s="20" t="s">
        <v>46</v>
      </c>
      <c r="H35" s="20" t="s">
        <v>47</v>
      </c>
      <c r="I35" s="20" t="s">
        <v>18</v>
      </c>
      <c r="J35" s="20" t="s">
        <v>18</v>
      </c>
      <c r="K35" s="49"/>
      <c r="L35" s="20" t="s">
        <v>44</v>
      </c>
    </row>
    <row r="36" ht="139" customHeight="1" spans="1:12">
      <c r="A36" s="20" t="str">
        <f>IF(I36&gt;0,$B$3&amp;"_"&amp;SUBTOTAL(3,$I$9:I36),"")</f>
        <v>TC_APP_OnThi_DanhSachDe_22</v>
      </c>
      <c r="B36" s="20" t="s">
        <v>152</v>
      </c>
      <c r="C36" s="20" t="s">
        <v>153</v>
      </c>
      <c r="D36" s="20" t="s">
        <v>154</v>
      </c>
      <c r="E36" s="20" t="s">
        <v>44</v>
      </c>
      <c r="F36" s="20" t="s">
        <v>155</v>
      </c>
      <c r="G36" s="20" t="s">
        <v>46</v>
      </c>
      <c r="H36" s="20" t="s">
        <v>47</v>
      </c>
      <c r="I36" s="55" t="s">
        <v>18</v>
      </c>
      <c r="J36" s="20" t="s">
        <v>18</v>
      </c>
      <c r="K36" s="49"/>
      <c r="L36" s="102" t="s">
        <v>156</v>
      </c>
    </row>
    <row r="37" ht="17" customHeight="1" spans="1:12">
      <c r="A37" s="46" t="s">
        <v>157</v>
      </c>
      <c r="B37" s="47"/>
    </row>
    <row r="38" ht="15.75" customHeight="1" spans="1:12">
      <c r="A38" s="48" t="s">
        <v>158</v>
      </c>
      <c r="B38" s="47"/>
    </row>
    <row r="39" ht="112" customHeight="1" spans="1:12">
      <c r="A39" s="20" t="str">
        <f>IF(I39&gt;0,$B$3&amp;"_"&amp;SUBTOTAL(3,$I$9:I39),"")</f>
        <v>TC_APP_OnThi_DanhSachDe_23</v>
      </c>
      <c r="B39" s="20" t="s">
        <v>159</v>
      </c>
      <c r="C39" s="20" t="s">
        <v>160</v>
      </c>
      <c r="D39" s="20" t="s">
        <v>161</v>
      </c>
      <c r="E39" s="20" t="s">
        <v>44</v>
      </c>
      <c r="F39" s="20" t="s">
        <v>162</v>
      </c>
      <c r="G39" s="20" t="s">
        <v>46</v>
      </c>
      <c r="H39" s="20" t="s">
        <v>47</v>
      </c>
      <c r="I39" s="55" t="s">
        <v>18</v>
      </c>
      <c r="J39" s="20" t="s">
        <v>22</v>
      </c>
      <c r="K39" s="49"/>
      <c r="L39" s="102" t="s">
        <v>163</v>
      </c>
    </row>
    <row r="40" ht="74" customHeight="1" spans="1:12">
      <c r="A40" s="20" t="str">
        <f>IF(I40&gt;0,$B$3&amp;"_"&amp;SUBTOTAL(3,$I$9:I40),"")</f>
        <v>TC_APP_OnThi_DanhSachDe_24</v>
      </c>
      <c r="B40" s="20" t="s">
        <v>164</v>
      </c>
      <c r="C40" s="20" t="s">
        <v>165</v>
      </c>
      <c r="D40" s="20" t="s">
        <v>166</v>
      </c>
      <c r="E40" s="20" t="s">
        <v>44</v>
      </c>
      <c r="F40" s="20" t="s">
        <v>167</v>
      </c>
      <c r="G40" s="20" t="s">
        <v>63</v>
      </c>
      <c r="H40" s="20" t="s">
        <v>47</v>
      </c>
      <c r="I40" s="55" t="s">
        <v>18</v>
      </c>
      <c r="J40" s="20" t="s">
        <v>22</v>
      </c>
      <c r="K40" s="49"/>
      <c r="L40" s="20" t="s">
        <v>168</v>
      </c>
    </row>
    <row r="41" ht="60" customHeight="1" spans="1:12">
      <c r="A41" s="20" t="str">
        <f>IF(I41&gt;0,$B$3&amp;"_"&amp;SUBTOTAL(3,$I$9:I41),"")</f>
        <v>TC_APP_OnThi_DanhSachDe_25</v>
      </c>
      <c r="B41" s="20" t="s">
        <v>169</v>
      </c>
      <c r="C41" s="20" t="s">
        <v>170</v>
      </c>
      <c r="D41" s="20" t="s">
        <v>171</v>
      </c>
      <c r="E41" s="20" t="s">
        <v>44</v>
      </c>
      <c r="F41" s="20" t="s">
        <v>172</v>
      </c>
      <c r="G41" s="20" t="s">
        <v>63</v>
      </c>
      <c r="H41" s="20" t="s">
        <v>47</v>
      </c>
      <c r="I41" s="55" t="s">
        <v>18</v>
      </c>
      <c r="J41" s="20" t="s">
        <v>22</v>
      </c>
      <c r="K41" s="49"/>
      <c r="L41" s="20" t="s">
        <v>173</v>
      </c>
    </row>
    <row r="42" ht="15" customHeight="1" spans="1:12">
      <c r="A42" s="48" t="s">
        <v>174</v>
      </c>
      <c r="B42" s="47"/>
    </row>
    <row r="43" ht="97" customHeight="1" spans="1:12">
      <c r="A43" s="20" t="str">
        <f>IF(I43&gt;0,$B$3&amp;"_"&amp;SUBTOTAL(3,$I$9:I43),"")</f>
        <v>TC_APP_OnThi_DanhSachDe_26</v>
      </c>
      <c r="B43" s="20" t="s">
        <v>175</v>
      </c>
      <c r="C43" s="20" t="s">
        <v>176</v>
      </c>
      <c r="D43" s="20" t="s">
        <v>177</v>
      </c>
      <c r="E43" s="20" t="s">
        <v>44</v>
      </c>
      <c r="F43" s="20" t="s">
        <v>178</v>
      </c>
      <c r="G43" s="20" t="s">
        <v>46</v>
      </c>
      <c r="H43" s="20" t="s">
        <v>47</v>
      </c>
      <c r="I43" s="55" t="s">
        <v>18</v>
      </c>
      <c r="J43" s="20" t="s">
        <v>22</v>
      </c>
      <c r="K43" s="49"/>
      <c r="L43" s="102" t="s">
        <v>179</v>
      </c>
    </row>
    <row r="44" ht="60" customHeight="1" spans="1:12">
      <c r="A44" s="20" t="str">
        <f>IF(I44&gt;0,$B$3&amp;"_"&amp;SUBTOTAL(3,$I$9:I44),"")</f>
        <v>TC_APP_OnThi_DanhSachDe_27</v>
      </c>
      <c r="B44" s="20" t="s">
        <v>180</v>
      </c>
      <c r="C44" s="20" t="s">
        <v>181</v>
      </c>
      <c r="D44" s="20" t="s">
        <v>182</v>
      </c>
      <c r="E44" s="20" t="s">
        <v>44</v>
      </c>
      <c r="F44" s="20" t="s">
        <v>183</v>
      </c>
      <c r="G44" s="20" t="s">
        <v>46</v>
      </c>
      <c r="H44" s="20" t="s">
        <v>47</v>
      </c>
      <c r="I44" s="55" t="s">
        <v>18</v>
      </c>
      <c r="J44" s="20" t="s">
        <v>22</v>
      </c>
      <c r="K44" s="49"/>
      <c r="L44" s="102" t="s">
        <v>179</v>
      </c>
    </row>
    <row r="45" ht="60" customHeight="1" spans="1:12">
      <c r="A45" s="20" t="str">
        <f>IF(I45&gt;0,$B$3&amp;"_"&amp;SUBTOTAL(3,$I$9:I45),"")</f>
        <v>TC_APP_OnThi_DanhSachDe_28</v>
      </c>
      <c r="B45" s="20" t="s">
        <v>184</v>
      </c>
      <c r="C45" s="20" t="s">
        <v>185</v>
      </c>
      <c r="D45" s="20" t="s">
        <v>186</v>
      </c>
      <c r="E45" s="20" t="s">
        <v>44</v>
      </c>
      <c r="F45" s="20" t="s">
        <v>187</v>
      </c>
      <c r="G45" s="20" t="s">
        <v>46</v>
      </c>
      <c r="H45" s="20" t="s">
        <v>47</v>
      </c>
      <c r="I45" s="55" t="s">
        <v>18</v>
      </c>
      <c r="J45" s="20" t="s">
        <v>22</v>
      </c>
      <c r="K45" s="49"/>
      <c r="L45" s="52" t="s">
        <v>188</v>
      </c>
    </row>
    <row r="46" ht="68.65" customHeight="1" spans="1:12">
      <c r="A46" s="20" t="str">
        <f>IF(I46&gt;0,$B$3&amp;"_"&amp;SUBTOTAL(3,$I$9:I46),"")</f>
        <v>TC_APP_OnThi_DanhSachDe_29</v>
      </c>
      <c r="B46" s="20" t="s">
        <v>189</v>
      </c>
      <c r="C46" s="20" t="s">
        <v>190</v>
      </c>
      <c r="D46" s="20" t="s">
        <v>191</v>
      </c>
      <c r="E46" s="20" t="s">
        <v>44</v>
      </c>
      <c r="F46" s="20" t="s">
        <v>192</v>
      </c>
      <c r="G46" s="20" t="s">
        <v>63</v>
      </c>
      <c r="H46" s="20" t="s">
        <v>47</v>
      </c>
      <c r="I46" s="55" t="s">
        <v>18</v>
      </c>
      <c r="J46" s="20" t="s">
        <v>22</v>
      </c>
      <c r="K46" s="49"/>
      <c r="L46" s="20" t="s">
        <v>193</v>
      </c>
    </row>
    <row r="47" ht="102" customHeight="1" spans="1:12">
      <c r="A47" s="20" t="str">
        <f>IF(I47&gt;0,$B$3&amp;"_"&amp;SUBTOTAL(3,$I$9:I47),"")</f>
        <v>TC_APP_OnThi_DanhSachDe_30</v>
      </c>
      <c r="B47" s="20" t="s">
        <v>194</v>
      </c>
      <c r="C47" s="20" t="s">
        <v>190</v>
      </c>
      <c r="D47" s="20" t="s">
        <v>195</v>
      </c>
      <c r="E47" s="20" t="s">
        <v>44</v>
      </c>
      <c r="F47" s="20" t="s">
        <v>196</v>
      </c>
      <c r="G47" s="20" t="s">
        <v>63</v>
      </c>
      <c r="H47" s="20" t="s">
        <v>47</v>
      </c>
      <c r="I47" s="55" t="s">
        <v>18</v>
      </c>
      <c r="J47" s="20" t="s">
        <v>22</v>
      </c>
      <c r="K47" s="49"/>
      <c r="L47" s="102" t="s">
        <v>197</v>
      </c>
    </row>
    <row r="48" ht="18" customHeight="1" spans="1:12">
      <c r="A48" s="46" t="s">
        <v>198</v>
      </c>
      <c r="B48" s="47"/>
    </row>
    <row r="49" ht="18" customHeight="1" spans="1:12">
      <c r="A49" s="48" t="s">
        <v>199</v>
      </c>
      <c r="B49" s="47"/>
      <c r="L49" s="56"/>
    </row>
    <row r="50" ht="57.45" customHeight="1" spans="1:12">
      <c r="A50" s="20" t="str">
        <f>IF(I50&gt;0,$B$3&amp;"_"&amp;SUBTOTAL(3,$I$9:I50),"")</f>
        <v>TC_APP_OnThi_DanhSachDe_31</v>
      </c>
      <c r="B50" s="20" t="s">
        <v>200</v>
      </c>
      <c r="C50" s="20" t="s">
        <v>201</v>
      </c>
      <c r="D50" s="20" t="s">
        <v>202</v>
      </c>
      <c r="E50" s="20" t="s">
        <v>44</v>
      </c>
      <c r="F50" s="20" t="s">
        <v>203</v>
      </c>
      <c r="G50" s="20" t="s">
        <v>46</v>
      </c>
      <c r="H50" s="20" t="s">
        <v>47</v>
      </c>
      <c r="I50" s="55" t="s">
        <v>18</v>
      </c>
      <c r="J50" s="20" t="s">
        <v>22</v>
      </c>
      <c r="K50" s="49"/>
      <c r="L50" s="52" t="s">
        <v>204</v>
      </c>
    </row>
    <row r="51" ht="57.45" customHeight="1" spans="1:12">
      <c r="A51" s="20" t="str">
        <f>IF(I51&gt;0,$B$3&amp;"_"&amp;SUBTOTAL(3,$I$9:I51),"")</f>
        <v>TC_APP_OnThi_DanhSachDe_32</v>
      </c>
      <c r="B51" s="20" t="s">
        <v>205</v>
      </c>
      <c r="C51" s="20" t="s">
        <v>206</v>
      </c>
      <c r="D51" s="20" t="s">
        <v>207</v>
      </c>
      <c r="E51" s="20" t="s">
        <v>44</v>
      </c>
      <c r="F51" s="20" t="s">
        <v>208</v>
      </c>
      <c r="G51" s="20" t="s">
        <v>46</v>
      </c>
      <c r="H51" s="20" t="s">
        <v>47</v>
      </c>
      <c r="I51" s="20" t="s">
        <v>18</v>
      </c>
      <c r="J51" s="20" t="s">
        <v>22</v>
      </c>
      <c r="K51" s="49"/>
      <c r="L51" s="20" t="s">
        <v>209</v>
      </c>
    </row>
    <row r="52" ht="97" customHeight="1" spans="1:12">
      <c r="A52" s="20" t="str">
        <f>IF(I52&gt;0,$B$3&amp;"_"&amp;SUBTOTAL(3,$I$9:I52),"")</f>
        <v>TC_APP_OnThi_DanhSachDe_33</v>
      </c>
      <c r="B52" s="20" t="s">
        <v>210</v>
      </c>
      <c r="C52" s="20" t="s">
        <v>211</v>
      </c>
      <c r="D52" s="20" t="s">
        <v>212</v>
      </c>
      <c r="E52" s="20" t="s">
        <v>44</v>
      </c>
      <c r="F52" s="20" t="s">
        <v>213</v>
      </c>
      <c r="G52" s="20" t="s">
        <v>46</v>
      </c>
      <c r="H52" s="20" t="s">
        <v>47</v>
      </c>
      <c r="I52" s="20" t="s">
        <v>18</v>
      </c>
      <c r="J52" s="20" t="s">
        <v>22</v>
      </c>
      <c r="K52" s="49"/>
      <c r="L52" s="20" t="s">
        <v>214</v>
      </c>
    </row>
    <row r="53" ht="18" customHeight="1" spans="1:12">
      <c r="A53" s="46" t="s">
        <v>215</v>
      </c>
      <c r="B53" s="47"/>
    </row>
    <row r="54" ht="18" customHeight="1" spans="1:12">
      <c r="A54" s="48" t="s">
        <v>216</v>
      </c>
      <c r="B54" s="47"/>
    </row>
    <row r="55" ht="82" customHeight="1" spans="1:12">
      <c r="A55" s="20" t="str">
        <f>IF(I55&gt;0,$B$3&amp;"_"&amp;SUBTOTAL(3,$I$9:I55),"")</f>
        <v>TC_APP_OnThi_DanhSachDe_34</v>
      </c>
      <c r="B55" s="20" t="s">
        <v>217</v>
      </c>
      <c r="C55" s="20" t="s">
        <v>218</v>
      </c>
      <c r="D55" s="20" t="s">
        <v>219</v>
      </c>
      <c r="E55" s="20" t="s">
        <v>44</v>
      </c>
      <c r="F55" s="20" t="s">
        <v>220</v>
      </c>
      <c r="G55" s="20" t="s">
        <v>46</v>
      </c>
      <c r="H55" s="20" t="s">
        <v>47</v>
      </c>
      <c r="I55" s="20" t="s">
        <v>18</v>
      </c>
      <c r="J55" s="20" t="s">
        <v>18</v>
      </c>
      <c r="K55" s="49"/>
      <c r="L55" s="20" t="s">
        <v>221</v>
      </c>
    </row>
    <row r="56" ht="57.45" customHeight="1" outlineLevel="1" spans="1:12">
      <c r="A56" s="20" t="str">
        <f>IF(I56&gt;0,$B$3&amp;"_"&amp;SUBTOTAL(3,$I$9:I56),"")</f>
        <v>TC_APP_OnThi_DanhSachDe_35</v>
      </c>
      <c r="B56" s="20" t="s">
        <v>222</v>
      </c>
      <c r="C56" s="20" t="s">
        <v>223</v>
      </c>
      <c r="D56" s="20" t="s">
        <v>224</v>
      </c>
      <c r="E56" s="20" t="s">
        <v>44</v>
      </c>
      <c r="F56" s="20" t="s">
        <v>225</v>
      </c>
      <c r="G56" s="20" t="s">
        <v>63</v>
      </c>
      <c r="H56" s="20" t="s">
        <v>47</v>
      </c>
      <c r="I56" s="20" t="s">
        <v>18</v>
      </c>
      <c r="J56" s="20" t="s">
        <v>18</v>
      </c>
      <c r="K56" s="49"/>
      <c r="L56" s="20" t="s">
        <v>226</v>
      </c>
    </row>
    <row r="57" ht="27" customHeight="1" spans="1:12">
      <c r="A57" s="46" t="s">
        <v>227</v>
      </c>
      <c r="B57" s="47"/>
      <c r="L57" s="56"/>
    </row>
    <row r="58" ht="15.75" customHeight="1" spans="1:12">
      <c r="A58" s="48" t="s">
        <v>228</v>
      </c>
      <c r="B58" s="47"/>
      <c r="L58" s="56"/>
    </row>
    <row r="59" ht="46" customHeight="1" spans="1:12">
      <c r="A59" s="20" t="str">
        <f>IF(I59&gt;0,$B$3&amp;"_"&amp;SUBTOTAL(3,$I$9:I59),"")</f>
        <v>TC_APP_OnThi_DanhSachDe_36</v>
      </c>
      <c r="B59" s="20" t="s">
        <v>229</v>
      </c>
      <c r="C59" s="20" t="s">
        <v>230</v>
      </c>
      <c r="D59" s="20" t="s">
        <v>231</v>
      </c>
      <c r="E59" s="20" t="s">
        <v>44</v>
      </c>
      <c r="F59" s="20" t="s">
        <v>232</v>
      </c>
      <c r="G59" s="20" t="s">
        <v>46</v>
      </c>
      <c r="H59" s="20" t="s">
        <v>47</v>
      </c>
      <c r="I59" s="55" t="s">
        <v>18</v>
      </c>
      <c r="J59" s="55" t="s">
        <v>18</v>
      </c>
      <c r="K59" s="49"/>
      <c r="L59" s="57" t="s">
        <v>233</v>
      </c>
    </row>
    <row r="60" ht="60" customHeight="1" spans="1:12">
      <c r="A60" s="20" t="str">
        <f>IF(I60&gt;0,$B$3&amp;"_"&amp;SUBTOTAL(3,$I$9:I60),"")</f>
        <v>TC_APP_OnThi_DanhSachDe_37</v>
      </c>
      <c r="B60" s="20" t="s">
        <v>234</v>
      </c>
      <c r="C60" s="20" t="s">
        <v>235</v>
      </c>
      <c r="D60" s="20" t="s">
        <v>236</v>
      </c>
      <c r="E60" s="20" t="s">
        <v>44</v>
      </c>
      <c r="F60" s="20" t="s">
        <v>237</v>
      </c>
      <c r="G60" s="20" t="s">
        <v>46</v>
      </c>
      <c r="H60" s="20" t="s">
        <v>47</v>
      </c>
      <c r="I60" s="55" t="s">
        <v>18</v>
      </c>
      <c r="J60" s="55" t="s">
        <v>18</v>
      </c>
      <c r="K60" s="49"/>
      <c r="L60" s="20" t="s">
        <v>238</v>
      </c>
    </row>
    <row r="61" ht="18" customHeight="1" spans="1:12">
      <c r="A61" s="48" t="s">
        <v>239</v>
      </c>
      <c r="B61" s="47"/>
    </row>
    <row r="62" ht="60" customHeight="1" spans="1:12">
      <c r="A62" s="20" t="str">
        <f>IF(I62&gt;0,$B$3&amp;"_"&amp;SUBTOTAL(3,$I$9:I62),"")</f>
        <v>TC_APP_OnThi_DanhSachDe_38</v>
      </c>
      <c r="B62" s="20" t="s">
        <v>240</v>
      </c>
      <c r="C62" s="20" t="s">
        <v>241</v>
      </c>
      <c r="D62" s="20" t="s">
        <v>242</v>
      </c>
      <c r="E62" s="20" t="s">
        <v>44</v>
      </c>
      <c r="F62" s="20" t="s">
        <v>243</v>
      </c>
      <c r="G62" s="20" t="s">
        <v>46</v>
      </c>
      <c r="H62" s="20" t="s">
        <v>47</v>
      </c>
      <c r="I62" s="55" t="s">
        <v>18</v>
      </c>
      <c r="J62" s="55" t="s">
        <v>18</v>
      </c>
      <c r="K62" s="49"/>
      <c r="L62" s="54" t="s">
        <v>244</v>
      </c>
    </row>
    <row r="63" ht="60" customHeight="1" spans="1:12">
      <c r="A63" s="20" t="str">
        <f>IF(I63&gt;0,$B$3&amp;"_"&amp;SUBTOTAL(3,$I$9:I63),"")</f>
        <v>TC_APP_OnThi_DanhSachDe_39</v>
      </c>
      <c r="B63" s="20" t="s">
        <v>245</v>
      </c>
      <c r="C63" s="20" t="s">
        <v>246</v>
      </c>
      <c r="D63" s="20" t="s">
        <v>247</v>
      </c>
      <c r="E63" s="20" t="s">
        <v>44</v>
      </c>
      <c r="F63" s="20" t="s">
        <v>248</v>
      </c>
      <c r="G63" s="20" t="s">
        <v>63</v>
      </c>
      <c r="H63" s="20" t="s">
        <v>47</v>
      </c>
      <c r="I63" s="20" t="s">
        <v>21</v>
      </c>
      <c r="J63" s="20" t="s">
        <v>22</v>
      </c>
      <c r="K63" s="49"/>
      <c r="L63" s="20"/>
    </row>
    <row r="64" ht="79" customHeight="1" spans="1:12">
      <c r="A64" s="20" t="str">
        <f>IF(I64&gt;0,$B$3&amp;"_"&amp;SUBTOTAL(3,$I$9:I64),"")</f>
        <v>TC_APP_OnThi_DanhSachDe_40</v>
      </c>
      <c r="B64" s="20" t="s">
        <v>249</v>
      </c>
      <c r="C64" s="20" t="s">
        <v>250</v>
      </c>
      <c r="D64" s="20" t="s">
        <v>242</v>
      </c>
      <c r="E64" s="20" t="s">
        <v>44</v>
      </c>
      <c r="F64" s="20" t="s">
        <v>251</v>
      </c>
      <c r="G64" s="20" t="s">
        <v>63</v>
      </c>
      <c r="H64" s="20" t="s">
        <v>47</v>
      </c>
      <c r="I64" s="20" t="s">
        <v>18</v>
      </c>
      <c r="J64" s="20" t="s">
        <v>18</v>
      </c>
      <c r="K64" s="49"/>
      <c r="L64" s="58" t="s">
        <v>252</v>
      </c>
    </row>
    <row r="65" ht="16" customHeight="1" spans="1:12">
      <c r="A65" s="48" t="s">
        <v>253</v>
      </c>
      <c r="B65" s="47"/>
    </row>
    <row r="66" ht="60" customHeight="1" spans="1:12">
      <c r="A66" s="20" t="str">
        <f>IF(I66&gt;0,$B$3&amp;"_"&amp;SUBTOTAL(3,$I$9:I66),"")</f>
        <v>TC_APP_OnThi_DanhSachDe_41</v>
      </c>
      <c r="B66" s="20" t="s">
        <v>254</v>
      </c>
      <c r="C66" s="20" t="s">
        <v>255</v>
      </c>
      <c r="D66" s="20" t="s">
        <v>256</v>
      </c>
      <c r="E66" s="20" t="s">
        <v>44</v>
      </c>
      <c r="F66" s="20" t="s">
        <v>257</v>
      </c>
      <c r="G66" s="20" t="s">
        <v>46</v>
      </c>
      <c r="H66" s="20" t="s">
        <v>47</v>
      </c>
      <c r="I66" s="55" t="s">
        <v>18</v>
      </c>
      <c r="J66" s="55" t="s">
        <v>18</v>
      </c>
      <c r="K66" s="49"/>
      <c r="L66" s="20" t="s">
        <v>44</v>
      </c>
    </row>
    <row r="67" ht="60" customHeight="1" spans="1:12">
      <c r="A67" s="20" t="str">
        <f>IF(I67&gt;0,$B$3&amp;"_"&amp;SUBTOTAL(3,$I$9:I67),"")</f>
        <v>TC_APP_OnThi_DanhSachDe_42</v>
      </c>
      <c r="B67" s="20" t="s">
        <v>258</v>
      </c>
      <c r="C67" s="20" t="s">
        <v>259</v>
      </c>
      <c r="D67" s="20" t="s">
        <v>256</v>
      </c>
      <c r="E67" s="20" t="s">
        <v>44</v>
      </c>
      <c r="F67" s="20" t="s">
        <v>260</v>
      </c>
      <c r="G67" s="20" t="s">
        <v>63</v>
      </c>
      <c r="H67" s="20" t="s">
        <v>47</v>
      </c>
      <c r="I67" s="55" t="s">
        <v>18</v>
      </c>
      <c r="J67" s="55" t="s">
        <v>18</v>
      </c>
      <c r="K67" s="49"/>
      <c r="L67" s="20" t="s">
        <v>44</v>
      </c>
    </row>
    <row r="68" ht="57.45" customHeight="1" outlineLevel="1"/>
    <row r="69" ht="57.45" customHeight="1" outlineLevel="1"/>
    <row r="70" ht="15.75" customHeight="1"/>
    <row r="71" ht="60" customHeight="1"/>
    <row r="72" ht="60" customHeight="1"/>
    <row r="73" ht="60" customHeight="1"/>
    <row r="74" ht="60" customHeight="1"/>
    <row r="75" ht="60" customHeight="1"/>
    <row r="76" ht="60" customHeight="1"/>
    <row r="77" ht="60" customHeight="1"/>
    <row r="78" ht="57.45" customHeight="1" outlineLevel="1"/>
    <row r="79" ht="57.45" customHeight="1" outlineLevel="1"/>
    <row r="80" ht="15.75" customHeight="1"/>
    <row r="81" ht="60" customHeight="1"/>
    <row r="82" ht="60" customHeight="1"/>
    <row r="83" ht="60" customHeight="1"/>
    <row r="84" ht="15.75" customHeight="1"/>
    <row r="85" ht="60" customHeight="1"/>
    <row r="86" ht="60" customHeight="1"/>
    <row r="87" ht="15" customHeight="1"/>
    <row r="88" ht="68.65" customHeight="1"/>
    <row r="89" ht="68.65" customHeight="1"/>
    <row r="90" ht="68.65" customHeight="1"/>
    <row r="91" ht="46.25" customHeight="1"/>
    <row r="92" ht="46.25" customHeight="1"/>
    <row r="93" ht="15" customHeight="1"/>
    <row r="94" ht="68.65" customHeight="1"/>
    <row r="95" ht="46.25" customHeight="1"/>
    <row r="96" ht="46.25" customHeight="1"/>
    <row r="97" ht="46.25" customHeight="1"/>
    <row r="98" ht="46.25" customHeight="1"/>
    <row r="99" ht="15" customHeight="1"/>
    <row r="100" ht="57.45" customHeight="1"/>
    <row r="101" ht="46.25" customHeight="1"/>
    <row r="102" ht="46.25" customHeight="1"/>
    <row r="103" ht="15.75" customHeight="1"/>
    <row r="104" ht="15" customHeight="1"/>
    <row r="105" ht="68.65" customHeight="1"/>
    <row r="106" ht="57.45" customHeight="1"/>
    <row r="107" ht="73.1" customHeight="1"/>
    <row r="108" ht="57.45" customHeight="1"/>
    <row r="109" ht="73.1" customHeight="1"/>
    <row r="110" ht="57.45" customHeight="1"/>
    <row r="111" ht="57.45" customHeight="1"/>
    <row r="112" ht="57.45" customHeight="1"/>
    <row r="113" ht="57.45" customHeight="1"/>
    <row r="114" ht="61.15" customHeight="1"/>
    <row r="115" ht="61.15" customHeight="1"/>
    <row r="116" ht="15" customHeight="1"/>
    <row r="117" ht="68.65" customHeight="1"/>
    <row r="118" ht="73.1" customHeight="1"/>
    <row r="119" ht="68.65" customHeight="1"/>
    <row r="120" ht="79.85" customHeight="1"/>
    <row r="121" ht="79.85" customHeight="1"/>
    <row r="122" ht="68.65" customHeight="1"/>
    <row r="123" ht="68.65" customHeight="1"/>
    <row r="124" ht="68.65" customHeight="1"/>
    <row r="125" ht="68.65" customHeight="1"/>
    <row r="126" ht="15" customHeight="1"/>
    <row r="127" ht="73.1" customHeight="1"/>
    <row r="128" ht="73.1" customHeight="1"/>
    <row r="129" ht="15.75" customHeight="1"/>
    <row r="130" ht="15.75" customHeight="1"/>
    <row r="131" ht="54" customHeight="1"/>
    <row r="132" ht="54" customHeight="1"/>
    <row r="133" ht="54" customHeight="1"/>
    <row r="134" ht="69.75" customHeight="1"/>
    <row r="135" ht="54" customHeight="1"/>
    <row r="136" ht="54" customHeight="1"/>
    <row r="137" ht="66" customHeight="1"/>
    <row r="138" ht="61.5" customHeight="1"/>
    <row r="139" ht="66" customHeight="1"/>
    <row r="140" ht="78" customHeight="1"/>
    <row r="141" ht="85.05" customHeight="1"/>
    <row r="142" ht="54" customHeight="1"/>
    <row r="143" ht="54" customHeight="1"/>
    <row r="144" ht="15.75" customHeight="1"/>
    <row r="145" ht="66.75" customHeight="1"/>
    <row r="146" ht="66.75" customHeight="1"/>
    <row r="147" ht="66.75" customHeight="1"/>
    <row r="148" ht="66.75" customHeight="1"/>
    <row r="149" ht="66.75" customHeight="1"/>
    <row r="150" ht="66.75" customHeight="1"/>
    <row r="151" ht="66.75" customHeight="1"/>
    <row r="152" ht="66.75" customHeight="1"/>
    <row r="153" ht="66.75" customHeight="1"/>
    <row r="154" ht="66.75" customHeight="1"/>
    <row r="155" ht="66.75" customHeight="1"/>
    <row r="156" ht="66.75" customHeight="1"/>
    <row r="157" ht="15.75" customHeight="1"/>
    <row r="158" ht="67.5" customHeight="1"/>
    <row r="159" ht="67.5" customHeight="1"/>
    <row r="160" ht="15.75" customHeight="1"/>
    <row r="161" ht="15.75" customHeight="1"/>
    <row r="162" ht="90.75" customHeight="1"/>
    <row r="163" ht="58.5" customHeight="1"/>
    <row r="164" ht="58.5" customHeight="1"/>
    <row r="165" ht="64.5" customHeight="1"/>
    <row r="166" ht="58.5" customHeight="1"/>
    <row r="167" ht="58.5" customHeight="1"/>
    <row r="168" ht="58.5" customHeight="1"/>
    <row r="169" ht="66" customHeight="1"/>
    <row r="170" ht="67.5" customHeight="1"/>
    <row r="171" ht="67.5" customHeight="1"/>
    <row r="172" ht="69" customHeight="1"/>
    <row r="173" ht="58.5" customHeight="1"/>
    <row r="174" ht="15.75" customHeight="1"/>
    <row r="175" ht="64.5" customHeight="1"/>
    <row r="176" ht="64.5" customHeight="1"/>
    <row r="177" ht="75" customHeight="1"/>
    <row r="178" ht="78.75" customHeight="1"/>
    <row r="179" ht="78" customHeight="1"/>
    <row r="180" ht="73.5" customHeight="1"/>
    <row r="181" ht="73.5" customHeight="1"/>
    <row r="182" ht="78.75" customHeight="1"/>
    <row r="183" ht="76.5" customHeight="1"/>
    <row r="184" ht="76.5" customHeight="1"/>
    <row r="185" ht="76.5" customHeight="1"/>
    <row r="186" ht="76.5" customHeight="1"/>
    <row r="187" ht="76.5" customHeight="1"/>
    <row r="188" ht="15.75" customHeight="1"/>
    <row r="189" ht="76.5" customHeight="1"/>
    <row r="190" ht="67.5" customHeight="1"/>
    <row r="191" ht="67.5" customHeight="1"/>
    <row r="192" ht="67.5" customHeight="1"/>
    <row r="193" ht="15.75" customHeight="1"/>
    <row r="194" ht="78" customHeight="1"/>
    <row r="195" ht="127.5" customHeight="1"/>
    <row r="196" ht="78" customHeight="1"/>
    <row r="197" ht="15.75" customHeight="1"/>
    <row r="198" ht="15.75" customHeight="1"/>
    <row r="199" ht="72" customHeight="1"/>
    <row r="200" ht="72" customHeight="1"/>
    <row r="201" ht="72" customHeight="1"/>
    <row r="202" ht="72" customHeight="1"/>
    <row r="203" ht="72" customHeight="1"/>
    <row r="204" ht="72" customHeight="1"/>
    <row r="205" ht="72" customHeight="1"/>
    <row r="206" ht="72" customHeight="1"/>
    <row r="207" ht="15.75" customHeight="1"/>
    <row r="208" ht="72" customHeight="1"/>
    <row r="209" ht="72" customHeight="1"/>
    <row r="210" ht="72" customHeight="1"/>
    <row r="211" ht="72" customHeight="1"/>
    <row r="212" ht="72" customHeight="1"/>
    <row r="213" ht="15.75" customHeight="1"/>
    <row r="214" ht="72" customHeight="1"/>
    <row r="215" ht="72" customHeight="1"/>
    <row r="216" ht="15.75" customHeight="1"/>
    <row r="217" ht="78" customHeight="1"/>
    <row r="218" ht="87.75" customHeight="1"/>
    <row r="219" ht="78" customHeight="1"/>
    <row r="220" ht="15.75" customHeight="1"/>
    <row r="221" ht="39"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sheetData>
  <mergeCells count="30">
    <mergeCell ref="I6:K6"/>
    <mergeCell ref="I7:J7"/>
    <mergeCell ref="A9:B9"/>
    <mergeCell ref="A10:B10"/>
    <mergeCell ref="A17:B17"/>
    <mergeCell ref="A25:B25"/>
    <mergeCell ref="A30:B30"/>
    <mergeCell ref="A31:B31"/>
    <mergeCell ref="A37:B37"/>
    <mergeCell ref="A38:B38"/>
    <mergeCell ref="A42:B42"/>
    <mergeCell ref="A48:B48"/>
    <mergeCell ref="A49:B49"/>
    <mergeCell ref="A53:B53"/>
    <mergeCell ref="A54:B54"/>
    <mergeCell ref="A57:B57"/>
    <mergeCell ref="A58:B58"/>
    <mergeCell ref="A61:B61"/>
    <mergeCell ref="A65:B65"/>
    <mergeCell ref="A7:A8"/>
    <mergeCell ref="B7:B8"/>
    <mergeCell ref="C7:C8"/>
    <mergeCell ref="D7:D8"/>
    <mergeCell ref="E7:E8"/>
    <mergeCell ref="F7:F8"/>
    <mergeCell ref="G7:G8"/>
    <mergeCell ref="H7:H8"/>
    <mergeCell ref="K7:K8"/>
    <mergeCell ref="L6:L8"/>
    <mergeCell ref="M6:M8"/>
  </mergeCells>
  <conditionalFormatting sqref="I50">
    <cfRule type="cellIs" dxfId="0" priority="4" operator="equal">
      <formula>"Update"</formula>
    </cfRule>
    <cfRule type="cellIs" dxfId="1" priority="3" operator="equal">
      <formula>"N/A"</formula>
    </cfRule>
    <cfRule type="cellIs" dxfId="2" priority="2" operator="equal">
      <formula>"Pending"</formula>
    </cfRule>
    <cfRule type="cellIs" dxfId="3" priority="1" operator="equal">
      <formula>"Update"</formula>
    </cfRule>
  </conditionalFormatting>
  <conditionalFormatting sqref="G9:K16 I17:K24 G25:K25 I26:K33 G34:K34 I35:K37 G38:K38 I39:K40 I41 I43:K47 G56:H56 K56 G57:K58 G59:H59 K59:K60 I61:K67 G68:K84 G87:K116 G117:J124 G125:K126 G127:J128 G129:K129 G131:J143 G145:J156 G158:J159 G160:K160 G161:H161 G162:J173 G175:J187 G189:J192 G193:H193 G194:J196 G197:K198 G199:J206 G207:K207 G208:J212 G213:K213 G214:J219 Q218:R219 G220:K220 G221:J221">
    <cfRule type="cellIs" dxfId="3" priority="6" operator="equal">
      <formula>"Update"</formula>
    </cfRule>
    <cfRule type="cellIs" dxfId="2" priority="7" operator="equal">
      <formula>"Pending"</formula>
    </cfRule>
    <cfRule type="cellIs" dxfId="1" priority="8" operator="equal">
      <formula>"N/A"</formula>
    </cfRule>
    <cfRule type="cellIs" dxfId="0" priority="9" operator="equal">
      <formula>"Update"</formula>
    </cfRule>
  </conditionalFormatting>
  <conditionalFormatting sqref="G9:K40 G41:J42 G43:K47 G48:J55 G56:K84 G85:J86 G87:K116 G117:J124 G125:K126 G127:J128 G129:K129 G130:J159 G160:K160 G161:J196 G197:K198 G199:J206 G207:K207 G208:J212 G213:K213 G214:J219 Q218:R219 G220:K220 G221:J1050">
    <cfRule type="cellIs" dxfId="4" priority="10" operator="equal">
      <formula>"Pass"</formula>
    </cfRule>
    <cfRule type="cellIs" dxfId="5" priority="11" operator="equal">
      <formula>"Fail"</formula>
    </cfRule>
    <cfRule type="cellIs" dxfId="6" priority="12" operator="equal">
      <formula>"Fixed"</formula>
    </cfRule>
    <cfRule type="cellIs" dxfId="7" priority="13" operator="equal">
      <formula>"Done"</formula>
    </cfRule>
  </conditionalFormatting>
  <dataValidations count="3">
    <dataValidation type="list" allowBlank="1" showErrorMessage="1" errorTitle="Không hợp lệ" error="Giá trị nhập phải nằm trong dải ô đã chỉ định (Todo/Doing/Pass/Fail/Pending/Re-Test/N-A)" sqref="I17:J17 I18 J18 I19 J19 I20 J20 I21 J21 I22 J22 I23 I24 I25:J25 I28 I29 I34 J34 I35 I36 I45 J47 I61:J61 I62:J62 I63:J63 I64:J64 I65:J65 I46:I47 I51:I52 J23:J24 J28:J29 J35:J36 J45:J46 J51:J52 I26:J27 I30:J31 I32:J33 I66:J67 I9:J10 I53:J54 I55:J56 I57:J58 I59:J60 I48:J50 I68:J2000 I11:J16 I37:J44">
      <formula1>' Data'!$C$2:$C$8</formula1>
    </dataValidation>
    <dataValidation type="list" allowBlank="1" showErrorMessage="1" errorTitle="Không hợp lệ" error="Giá trị nhập phải nằm trong dải ô đã chỉ định (High/Medium/Low)" sqref="G9:G2000">
      <formula1>' Data'!$E$2:$E$4</formula1>
    </dataValidation>
    <dataValidation type="list" allowBlank="1" showErrorMessage="1" errorTitle="Không hợp lệ" error="Giá trị nhập phải nằm trong dải ô đã chỉ định (Function/GUI/Others)" sqref="H9:H2000">
      <formula1>' Data'!$F$2:$F$4</formula1>
    </dataValidation>
  </dataValidations>
  <hyperlinks>
    <hyperlink ref="L11" r:id="rId1" display="https://prnt.sc/Vu8070iZBVm6 "/>
    <hyperlink ref="L19" r:id="rId2" display="https://jiranew.codeinet.com/browse/PAR-3182 "/>
    <hyperlink ref="L62" r:id="rId3" display="https://prnt.sc/CR4IMkxQ-cM5"/>
    <hyperlink ref="L64" r:id="rId4" display="https://prnt.sc/Nh6rHFsStoSx"/>
    <hyperlink ref="L16" r:id="rId5" display="https://prnt.sc/vmPPNZ1zhMMJ"/>
    <hyperlink ref="L15" r:id="rId6" display="https://prnt.sc/yaS7bBFuAwcG "/>
    <hyperlink ref="L50" r:id="rId7" display="https://prnt.sc/SICoYb6EiTwA"/>
    <hyperlink ref="L45" r:id="rId8" display="https://prnt.sc/IurzZYQQPPFi"/>
    <hyperlink ref="L59" r:id="rId9" display="https://prnt.sc/LCN7MRhL8HTb&#10;https://prnt.sc/6fyIsU3SRHqc"/>
    <hyperlink ref="L18" r:id="rId10" display="https://prnt.sc/EtQWOwYveFyO"/>
  </hyperlinks>
  <pageMargins left="0.7" right="0.7" top="0.75" bottom="0.75" header="0.511811023622047" footer="0.511811023622047"/>
  <pageSetup paperSize="1"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showGridLines="0" workbookViewId="0">
      <pane ySplit="4" topLeftCell="A5" activePane="bottomLeft" state="frozen"/>
      <selection/>
      <selection pane="bottomLeft" activeCell="A1" sqref="A1"/>
    </sheetView>
  </sheetViews>
  <sheetFormatPr defaultColWidth="9" defaultRowHeight="12.75" outlineLevelRow="7"/>
  <cols>
    <col min="1" max="1" width="4.62857142857143" customWidth="1"/>
    <col min="2" max="2" width="5.62857142857143" customWidth="1"/>
    <col min="3" max="3" width="41.3809523809524" customWidth="1"/>
    <col min="4" max="4" width="11.247619047619" customWidth="1"/>
    <col min="9" max="9" width="9.87619047619048" customWidth="1"/>
    <col min="10" max="10" width="17.752380952381" customWidth="1"/>
    <col min="11" max="11" width="15.1333333333333" customWidth="1"/>
    <col min="12" max="12" width="23.5047619047619" customWidth="1"/>
  </cols>
  <sheetData>
    <row r="1" ht="14.25" customHeight="1" spans="1:12">
      <c r="B1" s="11"/>
      <c r="C1" s="12" t="s">
        <v>261</v>
      </c>
      <c r="D1" s="11"/>
      <c r="E1" s="11"/>
      <c r="F1" s="13" t="s">
        <v>262</v>
      </c>
      <c r="H1" s="11"/>
      <c r="I1" s="11"/>
      <c r="J1" s="11"/>
    </row>
    <row r="3" ht="14.25" customHeight="1" spans="1:12">
      <c r="C3" s="14" t="s">
        <v>263</v>
      </c>
      <c r="D3" s="15" t="s">
        <v>264</v>
      </c>
      <c r="E3" s="16"/>
      <c r="F3" s="16"/>
      <c r="G3" s="16"/>
      <c r="H3" s="16"/>
      <c r="I3" s="16"/>
      <c r="J3" s="16"/>
      <c r="K3" s="16"/>
      <c r="L3" s="17"/>
    </row>
    <row r="4" ht="14.25" customHeight="1" spans="1:12">
      <c r="B4" s="18" t="s">
        <v>265</v>
      </c>
      <c r="C4" s="14"/>
      <c r="D4" s="15" t="s">
        <v>266</v>
      </c>
      <c r="E4" s="15" t="s">
        <v>18</v>
      </c>
      <c r="F4" s="15" t="s">
        <v>19</v>
      </c>
      <c r="G4" s="15" t="s">
        <v>20</v>
      </c>
      <c r="H4" s="15" t="s">
        <v>21</v>
      </c>
      <c r="I4" s="15" t="s">
        <v>22</v>
      </c>
      <c r="J4" s="15" t="s">
        <v>267</v>
      </c>
      <c r="K4" s="15" t="s">
        <v>268</v>
      </c>
      <c r="L4" s="15" t="s">
        <v>26</v>
      </c>
    </row>
    <row r="5" ht="14.25" customHeight="1" spans="1:12">
      <c r="C5" s="14"/>
      <c r="D5" s="19">
        <f t="shared" ref="D5:I5" si="0">D7</f>
        <v>84</v>
      </c>
      <c r="E5" s="19">
        <f t="shared" si="0"/>
        <v>71</v>
      </c>
      <c r="F5" s="19">
        <f t="shared" si="0"/>
        <v>0</v>
      </c>
      <c r="G5" s="19">
        <f t="shared" si="0"/>
        <v>0</v>
      </c>
      <c r="H5" s="19">
        <f t="shared" si="0"/>
        <v>1</v>
      </c>
      <c r="I5" s="19">
        <f t="shared" si="0"/>
        <v>12</v>
      </c>
    </row>
    <row r="6" spans="1:12">
      <c r="A6" s="20"/>
      <c r="B6" s="20">
        <v>1</v>
      </c>
      <c r="C6" s="20" t="s">
        <v>14</v>
      </c>
      <c r="D6" s="20">
        <f>'Danh sách đề (Đề thầy cô giao)'!A5</f>
        <v>84</v>
      </c>
      <c r="E6" s="20">
        <f>'Danh sách đề (Đề thầy cô giao)'!B5</f>
        <v>71</v>
      </c>
      <c r="F6" s="20">
        <f>'Danh sách đề (Đề thầy cô giao)'!C5</f>
        <v>0</v>
      </c>
      <c r="G6" s="20">
        <f>'Danh sách đề (Đề thầy cô giao)'!D5</f>
        <v>0</v>
      </c>
      <c r="H6" s="20">
        <f>'Danh sách đề (Đề thầy cô giao)'!E5</f>
        <v>1</v>
      </c>
      <c r="I6" s="20">
        <f>'Danh sách đề (Đề thầy cô giao)'!F5</f>
        <v>12</v>
      </c>
      <c r="J6" s="20" t="s">
        <v>22</v>
      </c>
      <c r="K6" s="20"/>
      <c r="L6" s="20"/>
    </row>
    <row r="7" spans="1:12">
      <c r="A7" s="21"/>
      <c r="B7" s="21"/>
      <c r="C7" s="21" t="s">
        <v>269</v>
      </c>
      <c r="D7" s="21">
        <f t="shared" ref="D7:I7" si="1">SUM(D6:D6)</f>
        <v>84</v>
      </c>
      <c r="E7" s="21">
        <f t="shared" si="1"/>
        <v>71</v>
      </c>
      <c r="F7" s="21">
        <f t="shared" si="1"/>
        <v>0</v>
      </c>
      <c r="G7" s="21">
        <f t="shared" si="1"/>
        <v>0</v>
      </c>
      <c r="H7" s="21">
        <f t="shared" si="1"/>
        <v>1</v>
      </c>
      <c r="I7" s="21">
        <f t="shared" si="1"/>
        <v>12</v>
      </c>
      <c r="J7" s="21"/>
      <c r="K7" s="21"/>
      <c r="L7" s="21"/>
    </row>
    <row r="8" spans="1:12">
      <c r="A8" s="22"/>
      <c r="B8" s="22"/>
      <c r="C8" s="22" t="s">
        <v>270</v>
      </c>
      <c r="D8" s="22"/>
      <c r="E8" s="22">
        <f>IFERROR(E7/D7,0)</f>
        <v>0.845238095238095</v>
      </c>
      <c r="F8" s="22">
        <f>IFERROR(F7/D7,0)</f>
        <v>0</v>
      </c>
      <c r="G8" s="22">
        <f>IFERROR(G7/D7,0)</f>
        <v>0</v>
      </c>
      <c r="H8" s="22">
        <f>IFERROR(H7/D7,0)</f>
        <v>0.0119047619047619</v>
      </c>
      <c r="I8" s="22">
        <f>IFERROR(I7/D7,0)</f>
        <v>0.142857142857143</v>
      </c>
      <c r="J8" s="22"/>
      <c r="K8" s="22"/>
      <c r="L8" s="22"/>
    </row>
  </sheetData>
  <mergeCells count="1">
    <mergeCell ref="D3:L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DA1F2"/>
  </sheetPr>
  <dimension ref="A1:AA1000"/>
  <sheetViews>
    <sheetView showGridLines="0" workbookViewId="0">
      <pane ySplit="1" topLeftCell="A2" activePane="bottomLeft" state="frozen"/>
      <selection/>
      <selection pane="bottomLeft" activeCell="B3" sqref="B3"/>
    </sheetView>
  </sheetViews>
  <sheetFormatPr defaultColWidth="12.6285714285714" defaultRowHeight="12.75"/>
  <cols>
    <col min="1" max="2" width="5.13333333333333" customWidth="1"/>
    <col min="3" max="3" width="10.1333333333333" customWidth="1"/>
    <col min="4" max="4" width="19" customWidth="1"/>
    <col min="5" max="5" width="67.2476190476191" customWidth="1"/>
    <col min="6" max="6" width="25.247619047619" customWidth="1"/>
  </cols>
  <sheetData>
    <row r="1" ht="15.75" customHeight="1" spans="1:27">
      <c r="A1" s="1"/>
      <c r="B1" s="2" t="s">
        <v>265</v>
      </c>
      <c r="C1" s="3" t="s">
        <v>271</v>
      </c>
      <c r="D1" s="3" t="s">
        <v>272</v>
      </c>
      <c r="E1" s="2" t="s">
        <v>273</v>
      </c>
      <c r="F1" s="2" t="s">
        <v>274</v>
      </c>
      <c r="G1" s="2" t="s">
        <v>275</v>
      </c>
      <c r="H1" s="1"/>
      <c r="I1" s="1"/>
      <c r="J1" s="1"/>
      <c r="K1" s="1"/>
      <c r="L1" s="1"/>
      <c r="M1" s="1"/>
      <c r="N1" s="1"/>
      <c r="O1" s="1"/>
      <c r="P1" s="1"/>
      <c r="Q1" s="1"/>
      <c r="R1" s="1"/>
      <c r="S1" s="1"/>
      <c r="T1" s="1"/>
      <c r="U1" s="1"/>
      <c r="V1" s="1"/>
      <c r="W1" s="1"/>
      <c r="X1" s="1"/>
      <c r="Y1" s="1"/>
      <c r="Z1" s="1"/>
      <c r="AA1" s="1"/>
    </row>
    <row r="2" ht="15.75" customHeight="1" spans="1:27">
      <c r="A2" s="4"/>
      <c r="B2" s="5">
        <v>1</v>
      </c>
      <c r="C2" s="5"/>
      <c r="D2" s="5" t="s">
        <v>267</v>
      </c>
      <c r="E2" s="5" t="s">
        <v>276</v>
      </c>
      <c r="F2" s="5" t="s">
        <v>277</v>
      </c>
      <c r="G2" s="5"/>
      <c r="H2" s="4"/>
      <c r="I2" s="4"/>
      <c r="J2" s="4"/>
      <c r="K2" s="4"/>
      <c r="L2" s="4"/>
      <c r="M2" s="4"/>
      <c r="N2" s="4"/>
      <c r="O2" s="4"/>
      <c r="P2" s="4"/>
      <c r="Q2" s="4"/>
      <c r="R2" s="4"/>
      <c r="S2" s="4"/>
      <c r="T2" s="4"/>
      <c r="U2" s="4"/>
      <c r="V2" s="4"/>
      <c r="W2" s="4"/>
      <c r="X2" s="4"/>
      <c r="Y2" s="4"/>
      <c r="Z2" s="4"/>
      <c r="AA2" s="4"/>
    </row>
    <row r="3" ht="15.75" customHeight="1" spans="1:27">
      <c r="A3" s="4"/>
      <c r="B3" s="5">
        <f>B2+B2</f>
        <v>2</v>
      </c>
      <c r="C3" s="5" t="s">
        <v>267</v>
      </c>
      <c r="D3" s="5" t="s">
        <v>22</v>
      </c>
      <c r="E3" s="5" t="s">
        <v>278</v>
      </c>
      <c r="F3" s="5" t="s">
        <v>277</v>
      </c>
      <c r="G3" s="5"/>
      <c r="H3" s="4"/>
      <c r="I3" s="4"/>
      <c r="J3" s="4"/>
      <c r="K3" s="4"/>
      <c r="L3" s="4"/>
      <c r="M3" s="4"/>
      <c r="N3" s="4"/>
      <c r="O3" s="4"/>
      <c r="P3" s="4"/>
      <c r="Q3" s="4"/>
      <c r="R3" s="4"/>
      <c r="S3" s="4"/>
      <c r="T3" s="4"/>
      <c r="U3" s="4"/>
      <c r="V3" s="4"/>
      <c r="W3" s="4"/>
      <c r="X3" s="4"/>
      <c r="Y3" s="4"/>
      <c r="Z3" s="4"/>
      <c r="AA3" s="4"/>
    </row>
    <row r="4" ht="15.75" customHeight="1" spans="1:27">
      <c r="A4" s="4"/>
      <c r="B4" s="5">
        <f t="shared" ref="B4:B22" si="0">B3+1</f>
        <v>3</v>
      </c>
      <c r="C4" s="6"/>
      <c r="D4" s="5" t="s">
        <v>279</v>
      </c>
      <c r="E4" s="5" t="s">
        <v>280</v>
      </c>
      <c r="F4" s="5" t="s">
        <v>277</v>
      </c>
      <c r="G4" s="5"/>
      <c r="H4" s="4"/>
      <c r="I4" s="4"/>
      <c r="J4" s="4"/>
      <c r="K4" s="4"/>
      <c r="L4" s="4"/>
      <c r="M4" s="4"/>
      <c r="N4" s="4"/>
      <c r="O4" s="4"/>
      <c r="P4" s="4"/>
      <c r="Q4" s="4"/>
      <c r="R4" s="4"/>
      <c r="S4" s="4"/>
      <c r="T4" s="4"/>
      <c r="U4" s="4"/>
      <c r="V4" s="4"/>
      <c r="W4" s="4"/>
      <c r="X4" s="4"/>
      <c r="Y4" s="4"/>
      <c r="Z4" s="4"/>
      <c r="AA4" s="4"/>
    </row>
    <row r="5" ht="15.75" customHeight="1" spans="1:27">
      <c r="A5" s="4"/>
      <c r="B5" s="5">
        <f t="shared" si="0"/>
        <v>4</v>
      </c>
      <c r="C5" s="6"/>
      <c r="D5" s="5" t="s">
        <v>18</v>
      </c>
      <c r="E5" s="5" t="s">
        <v>281</v>
      </c>
      <c r="F5" s="5" t="s">
        <v>277</v>
      </c>
      <c r="G5" s="5"/>
      <c r="H5" s="4"/>
      <c r="I5" s="4"/>
      <c r="J5" s="4"/>
      <c r="K5" s="4"/>
      <c r="L5" s="4"/>
      <c r="M5" s="4"/>
      <c r="N5" s="4"/>
      <c r="O5" s="4"/>
      <c r="P5" s="4"/>
      <c r="Q5" s="4"/>
      <c r="R5" s="4"/>
      <c r="S5" s="4"/>
      <c r="T5" s="4"/>
      <c r="U5" s="4"/>
      <c r="V5" s="4"/>
      <c r="W5" s="4"/>
      <c r="X5" s="4"/>
      <c r="Y5" s="4"/>
      <c r="Z5" s="4"/>
      <c r="AA5" s="4"/>
    </row>
    <row r="6" ht="15.75" customHeight="1" spans="1:27">
      <c r="A6" s="4"/>
      <c r="B6" s="5">
        <f t="shared" si="0"/>
        <v>5</v>
      </c>
      <c r="C6" s="6"/>
      <c r="D6" s="5" t="s">
        <v>19</v>
      </c>
      <c r="E6" s="5" t="s">
        <v>282</v>
      </c>
      <c r="F6" s="5" t="s">
        <v>277</v>
      </c>
      <c r="G6" s="5"/>
      <c r="H6" s="4"/>
      <c r="I6" s="4"/>
      <c r="J6" s="4"/>
      <c r="K6" s="4"/>
      <c r="L6" s="4"/>
      <c r="M6" s="4"/>
      <c r="N6" s="4"/>
      <c r="O6" s="4"/>
      <c r="P6" s="4"/>
      <c r="Q6" s="4"/>
      <c r="R6" s="4"/>
      <c r="S6" s="4"/>
      <c r="T6" s="4"/>
      <c r="U6" s="4"/>
      <c r="V6" s="4"/>
      <c r="W6" s="4"/>
      <c r="X6" s="4"/>
      <c r="Y6" s="4"/>
      <c r="Z6" s="4"/>
      <c r="AA6" s="4"/>
    </row>
    <row r="7" ht="15.75" customHeight="1" spans="1:27">
      <c r="A7" s="4"/>
      <c r="B7" s="5">
        <f t="shared" si="0"/>
        <v>6</v>
      </c>
      <c r="C7" s="6"/>
      <c r="D7" s="5" t="s">
        <v>21</v>
      </c>
      <c r="E7" s="5" t="s">
        <v>283</v>
      </c>
      <c r="F7" s="5" t="s">
        <v>277</v>
      </c>
      <c r="G7" s="5"/>
      <c r="H7" s="4"/>
      <c r="I7" s="4"/>
      <c r="J7" s="4"/>
      <c r="K7" s="4"/>
      <c r="L7" s="4"/>
      <c r="M7" s="4"/>
      <c r="N7" s="4"/>
      <c r="O7" s="4"/>
      <c r="P7" s="4"/>
      <c r="Q7" s="4"/>
      <c r="R7" s="4"/>
      <c r="S7" s="4"/>
      <c r="T7" s="4"/>
      <c r="U7" s="4"/>
      <c r="V7" s="4"/>
      <c r="W7" s="4"/>
      <c r="X7" s="4"/>
      <c r="Y7" s="4"/>
      <c r="Z7" s="4"/>
      <c r="AA7" s="4"/>
    </row>
    <row r="8" ht="15.75" customHeight="1" spans="1:27">
      <c r="A8" s="4"/>
      <c r="B8" s="5">
        <f t="shared" si="0"/>
        <v>7</v>
      </c>
      <c r="C8" s="6"/>
      <c r="D8" s="5" t="s">
        <v>284</v>
      </c>
      <c r="E8" s="5" t="s">
        <v>285</v>
      </c>
      <c r="F8" s="5" t="s">
        <v>277</v>
      </c>
      <c r="G8" s="5"/>
      <c r="H8" s="4"/>
      <c r="I8" s="4"/>
      <c r="J8" s="4"/>
      <c r="K8" s="4"/>
      <c r="L8" s="4"/>
      <c r="M8" s="4"/>
      <c r="N8" s="4"/>
      <c r="O8" s="4"/>
      <c r="P8" s="4"/>
      <c r="Q8" s="4"/>
      <c r="R8" s="4"/>
      <c r="S8" s="4"/>
      <c r="T8" s="4"/>
      <c r="U8" s="4"/>
      <c r="V8" s="4"/>
      <c r="W8" s="4"/>
      <c r="X8" s="4"/>
      <c r="Y8" s="4"/>
      <c r="Z8" s="4"/>
      <c r="AA8" s="4"/>
    </row>
    <row r="9" ht="15.75" customHeight="1" spans="1:27">
      <c r="A9" s="4"/>
      <c r="B9" s="5">
        <f t="shared" si="0"/>
        <v>8</v>
      </c>
      <c r="C9" s="7"/>
      <c r="D9" s="5" t="s">
        <v>20</v>
      </c>
      <c r="E9" s="5" t="s">
        <v>286</v>
      </c>
      <c r="F9" s="5" t="s">
        <v>277</v>
      </c>
      <c r="G9" s="5"/>
      <c r="H9" s="4"/>
      <c r="I9" s="4"/>
      <c r="J9" s="4"/>
      <c r="K9" s="4"/>
      <c r="L9" s="4"/>
      <c r="M9" s="4"/>
      <c r="N9" s="4"/>
      <c r="O9" s="4"/>
      <c r="P9" s="4"/>
      <c r="Q9" s="4"/>
      <c r="R9" s="4"/>
      <c r="S9" s="4"/>
      <c r="T9" s="4"/>
      <c r="U9" s="4"/>
      <c r="V9" s="4"/>
      <c r="W9" s="4"/>
      <c r="X9" s="4"/>
      <c r="Y9" s="4"/>
      <c r="Z9" s="4"/>
      <c r="AA9" s="4"/>
    </row>
    <row r="10" ht="15.75" customHeight="1" spans="1:27">
      <c r="A10" s="4"/>
      <c r="B10" s="5">
        <f t="shared" si="0"/>
        <v>9</v>
      </c>
      <c r="D10" s="5" t="s">
        <v>287</v>
      </c>
      <c r="E10" s="5" t="s">
        <v>288</v>
      </c>
      <c r="F10" s="5" t="s">
        <v>277</v>
      </c>
      <c r="G10" s="5"/>
      <c r="H10" s="4"/>
      <c r="I10" s="4"/>
      <c r="J10" s="4"/>
      <c r="K10" s="4"/>
      <c r="L10" s="4"/>
      <c r="M10" s="4"/>
      <c r="N10" s="4"/>
      <c r="O10" s="4"/>
      <c r="P10" s="4"/>
      <c r="Q10" s="4"/>
      <c r="R10" s="4"/>
      <c r="S10" s="4"/>
      <c r="T10" s="4"/>
      <c r="U10" s="4"/>
      <c r="V10" s="4"/>
      <c r="W10" s="4"/>
      <c r="X10" s="4"/>
      <c r="Y10" s="4"/>
      <c r="Z10" s="4"/>
      <c r="AA10" s="4"/>
    </row>
    <row r="11" ht="15.75" customHeight="1" spans="1:27">
      <c r="A11" s="4"/>
      <c r="B11" s="5">
        <f t="shared" si="0"/>
        <v>10</v>
      </c>
      <c r="C11" s="5" t="s">
        <v>287</v>
      </c>
      <c r="D11" s="5" t="s">
        <v>46</v>
      </c>
      <c r="E11" s="5" t="s">
        <v>289</v>
      </c>
      <c r="F11" s="5" t="s">
        <v>277</v>
      </c>
      <c r="G11" s="5"/>
      <c r="H11" s="4"/>
      <c r="I11" s="4"/>
      <c r="J11" s="4"/>
      <c r="K11" s="4"/>
      <c r="L11" s="4"/>
      <c r="M11" s="4"/>
      <c r="N11" s="4"/>
      <c r="O11" s="4"/>
      <c r="P11" s="4"/>
      <c r="Q11" s="4"/>
      <c r="R11" s="4"/>
      <c r="S11" s="4"/>
      <c r="T11" s="4"/>
      <c r="U11" s="4"/>
      <c r="V11" s="4"/>
      <c r="W11" s="4"/>
      <c r="X11" s="4"/>
      <c r="Y11" s="4"/>
      <c r="Z11" s="4"/>
      <c r="AA11" s="4"/>
    </row>
    <row r="12" ht="15.75" customHeight="1" spans="1:27">
      <c r="A12" s="4"/>
      <c r="B12" s="5">
        <f t="shared" si="0"/>
        <v>11</v>
      </c>
      <c r="C12" s="6"/>
      <c r="D12" s="5" t="s">
        <v>63</v>
      </c>
      <c r="E12" s="5" t="s">
        <v>290</v>
      </c>
      <c r="F12" s="5" t="s">
        <v>277</v>
      </c>
      <c r="G12" s="5"/>
      <c r="H12" s="4"/>
      <c r="I12" s="4"/>
      <c r="J12" s="4"/>
      <c r="K12" s="4"/>
      <c r="L12" s="4"/>
      <c r="M12" s="4"/>
      <c r="N12" s="4"/>
      <c r="O12" s="4"/>
      <c r="P12" s="4"/>
      <c r="Q12" s="4"/>
      <c r="R12" s="4"/>
      <c r="S12" s="4"/>
      <c r="T12" s="4"/>
      <c r="U12" s="4"/>
      <c r="V12" s="4"/>
      <c r="W12" s="4"/>
      <c r="X12" s="4"/>
      <c r="Y12" s="4"/>
      <c r="Z12" s="4"/>
      <c r="AA12" s="4"/>
    </row>
    <row r="13" ht="15.75" customHeight="1" spans="1:27">
      <c r="A13" s="4"/>
      <c r="B13" s="5">
        <f t="shared" si="0"/>
        <v>12</v>
      </c>
      <c r="C13" s="7"/>
      <c r="D13" s="8" t="s">
        <v>74</v>
      </c>
      <c r="E13" s="5" t="s">
        <v>291</v>
      </c>
      <c r="F13" s="5" t="s">
        <v>277</v>
      </c>
      <c r="G13" s="5"/>
      <c r="H13" s="4"/>
      <c r="I13" s="4"/>
      <c r="J13" s="4"/>
      <c r="K13" s="4"/>
      <c r="L13" s="4"/>
      <c r="M13" s="4"/>
      <c r="N13" s="4"/>
      <c r="O13" s="4"/>
      <c r="P13" s="4"/>
      <c r="Q13" s="4"/>
      <c r="R13" s="4"/>
      <c r="S13" s="4"/>
      <c r="T13" s="4"/>
      <c r="U13" s="4"/>
      <c r="V13" s="4"/>
      <c r="W13" s="4"/>
      <c r="X13" s="4"/>
      <c r="Y13" s="4"/>
      <c r="Z13" s="4"/>
      <c r="AA13" s="4"/>
    </row>
    <row r="14" ht="15.75" customHeight="1" spans="1:27">
      <c r="A14" s="4"/>
      <c r="B14" s="5">
        <f t="shared" si="0"/>
        <v>13</v>
      </c>
      <c r="C14" s="9"/>
      <c r="D14" s="5" t="s">
        <v>29</v>
      </c>
      <c r="E14" s="5" t="s">
        <v>292</v>
      </c>
      <c r="F14" s="5" t="s">
        <v>277</v>
      </c>
      <c r="G14" s="5"/>
      <c r="H14" s="4"/>
      <c r="I14" s="4"/>
      <c r="J14" s="4"/>
      <c r="K14" s="4"/>
      <c r="L14" s="4"/>
      <c r="M14" s="4"/>
      <c r="N14" s="4"/>
      <c r="O14" s="4"/>
      <c r="P14" s="4"/>
      <c r="Q14" s="4"/>
      <c r="R14" s="4"/>
      <c r="S14" s="4"/>
      <c r="T14" s="4"/>
      <c r="U14" s="4"/>
      <c r="V14" s="4"/>
      <c r="W14" s="4"/>
      <c r="X14" s="4"/>
      <c r="Y14" s="4"/>
      <c r="Z14" s="4"/>
      <c r="AA14" s="4"/>
    </row>
    <row r="15" ht="15.75" customHeight="1" spans="1:27">
      <c r="A15" s="4"/>
      <c r="B15" s="5">
        <f t="shared" si="0"/>
        <v>14</v>
      </c>
      <c r="C15" s="9"/>
      <c r="D15" s="5" t="s">
        <v>293</v>
      </c>
      <c r="E15" s="5" t="s">
        <v>294</v>
      </c>
      <c r="F15" s="5" t="s">
        <v>277</v>
      </c>
      <c r="G15" s="5"/>
      <c r="H15" s="4"/>
      <c r="I15" s="4"/>
      <c r="J15" s="4"/>
      <c r="K15" s="4"/>
      <c r="L15" s="4"/>
      <c r="M15" s="4"/>
      <c r="N15" s="4"/>
      <c r="O15" s="4"/>
      <c r="P15" s="4"/>
      <c r="Q15" s="4"/>
      <c r="R15" s="4"/>
      <c r="S15" s="4"/>
      <c r="T15" s="4"/>
      <c r="U15" s="4"/>
      <c r="V15" s="4"/>
      <c r="W15" s="4"/>
      <c r="X15" s="4"/>
      <c r="Y15" s="4"/>
      <c r="Z15" s="4"/>
      <c r="AA15" s="4"/>
    </row>
    <row r="16" ht="15.75" customHeight="1" spans="1:27">
      <c r="A16" s="4"/>
      <c r="B16" s="5">
        <f t="shared" si="0"/>
        <v>15</v>
      </c>
      <c r="C16" s="9"/>
      <c r="D16" s="5" t="s">
        <v>295</v>
      </c>
      <c r="E16" s="5" t="s">
        <v>296</v>
      </c>
      <c r="F16" s="5" t="s">
        <v>277</v>
      </c>
      <c r="G16" s="5"/>
      <c r="H16" s="4"/>
      <c r="I16" s="4"/>
      <c r="J16" s="4"/>
      <c r="K16" s="4"/>
      <c r="L16" s="4"/>
      <c r="M16" s="4"/>
      <c r="N16" s="4"/>
      <c r="O16" s="4"/>
      <c r="P16" s="4"/>
      <c r="Q16" s="4"/>
      <c r="R16" s="4"/>
      <c r="S16" s="4"/>
      <c r="T16" s="4"/>
      <c r="U16" s="4"/>
      <c r="V16" s="4"/>
      <c r="W16" s="4"/>
      <c r="X16" s="4"/>
      <c r="Y16" s="4"/>
      <c r="Z16" s="4"/>
      <c r="AA16" s="4"/>
    </row>
    <row r="17" ht="15.75" customHeight="1" spans="1:27">
      <c r="A17" s="4"/>
      <c r="B17" s="5">
        <f t="shared" si="0"/>
        <v>16</v>
      </c>
      <c r="C17" s="5"/>
      <c r="D17" s="5" t="s">
        <v>297</v>
      </c>
      <c r="E17" s="5" t="s">
        <v>298</v>
      </c>
      <c r="F17" s="5" t="s">
        <v>299</v>
      </c>
      <c r="G17" s="5"/>
      <c r="H17" s="4"/>
      <c r="I17" s="4"/>
      <c r="J17" s="4"/>
      <c r="K17" s="4"/>
      <c r="L17" s="4"/>
      <c r="M17" s="4"/>
      <c r="N17" s="4"/>
      <c r="O17" s="4"/>
      <c r="P17" s="4"/>
      <c r="Q17" s="4"/>
      <c r="R17" s="4"/>
      <c r="S17" s="4"/>
      <c r="T17" s="4"/>
      <c r="U17" s="4"/>
      <c r="V17" s="4"/>
      <c r="W17" s="4"/>
      <c r="X17" s="4"/>
      <c r="Y17" s="4"/>
      <c r="Z17" s="4"/>
      <c r="AA17" s="4"/>
    </row>
    <row r="18" ht="15.75" customHeight="1" spans="1:27">
      <c r="A18" s="4"/>
      <c r="B18" s="5">
        <f t="shared" si="0"/>
        <v>17</v>
      </c>
      <c r="C18" s="5"/>
      <c r="D18" s="5" t="s">
        <v>300</v>
      </c>
      <c r="E18" s="5" t="s">
        <v>301</v>
      </c>
      <c r="F18" s="5" t="s">
        <v>299</v>
      </c>
      <c r="G18" s="5"/>
      <c r="H18" s="4"/>
      <c r="I18" s="4"/>
      <c r="J18" s="4"/>
      <c r="K18" s="4"/>
      <c r="L18" s="4"/>
      <c r="M18" s="4"/>
      <c r="N18" s="4"/>
      <c r="O18" s="4"/>
      <c r="P18" s="4"/>
      <c r="Q18" s="4"/>
      <c r="R18" s="4"/>
      <c r="S18" s="4"/>
      <c r="T18" s="4"/>
      <c r="U18" s="4"/>
      <c r="V18" s="4"/>
      <c r="W18" s="4"/>
      <c r="X18" s="4"/>
      <c r="Y18" s="4"/>
      <c r="Z18" s="4"/>
      <c r="AA18" s="4"/>
    </row>
    <row r="19" ht="15.75" customHeight="1" spans="1:27">
      <c r="A19" s="4"/>
      <c r="B19" s="5">
        <f t="shared" si="0"/>
        <v>18</v>
      </c>
      <c r="C19" s="5"/>
      <c r="D19" s="10" t="s">
        <v>302</v>
      </c>
      <c r="E19" s="5" t="s">
        <v>303</v>
      </c>
      <c r="F19" s="5" t="s">
        <v>299</v>
      </c>
      <c r="G19" s="5"/>
      <c r="H19" s="4"/>
      <c r="I19" s="4"/>
      <c r="J19" s="4"/>
      <c r="K19" s="4"/>
      <c r="L19" s="4"/>
      <c r="M19" s="4"/>
      <c r="N19" s="4"/>
      <c r="O19" s="4"/>
      <c r="P19" s="4"/>
      <c r="Q19" s="4"/>
      <c r="R19" s="4"/>
      <c r="S19" s="4"/>
      <c r="T19" s="4"/>
      <c r="U19" s="4"/>
      <c r="V19" s="4"/>
      <c r="W19" s="4"/>
      <c r="X19" s="4"/>
      <c r="Y19" s="4"/>
      <c r="Z19" s="4"/>
      <c r="AA19" s="4"/>
    </row>
    <row r="20" ht="15.75" customHeight="1" spans="1:27">
      <c r="A20" s="4"/>
      <c r="B20" s="5">
        <f t="shared" si="0"/>
        <v>19</v>
      </c>
      <c r="C20" s="5"/>
      <c r="D20" s="5"/>
      <c r="E20" s="5"/>
      <c r="F20" s="5"/>
      <c r="G20" s="5"/>
      <c r="H20" s="4"/>
      <c r="I20" s="4"/>
      <c r="J20" s="4"/>
      <c r="K20" s="4"/>
      <c r="L20" s="4"/>
      <c r="M20" s="4"/>
      <c r="N20" s="4"/>
      <c r="O20" s="4"/>
      <c r="P20" s="4"/>
      <c r="Q20" s="4"/>
      <c r="R20" s="4"/>
      <c r="S20" s="4"/>
      <c r="T20" s="4"/>
      <c r="U20" s="4"/>
      <c r="V20" s="4"/>
      <c r="W20" s="4"/>
      <c r="X20" s="4"/>
      <c r="Y20" s="4"/>
      <c r="Z20" s="4"/>
      <c r="AA20" s="4"/>
    </row>
    <row r="21" ht="15.75" customHeight="1" spans="1:27">
      <c r="A21" s="4"/>
      <c r="B21" s="5">
        <f t="shared" si="0"/>
        <v>20</v>
      </c>
      <c r="C21" s="5"/>
      <c r="D21" s="5"/>
      <c r="E21" s="5"/>
      <c r="F21" s="5"/>
      <c r="G21" s="5"/>
      <c r="H21" s="4"/>
      <c r="I21" s="4"/>
      <c r="J21" s="4"/>
      <c r="K21" s="4"/>
      <c r="L21" s="4"/>
      <c r="M21" s="4"/>
      <c r="N21" s="4"/>
      <c r="O21" s="4"/>
      <c r="P21" s="4"/>
      <c r="Q21" s="4"/>
      <c r="R21" s="4"/>
      <c r="S21" s="4"/>
      <c r="T21" s="4"/>
      <c r="U21" s="4"/>
      <c r="V21" s="4"/>
      <c r="W21" s="4"/>
      <c r="X21" s="4"/>
      <c r="Y21" s="4"/>
      <c r="Z21" s="4"/>
      <c r="AA21" s="4"/>
    </row>
    <row r="22" ht="15.75" customHeight="1" spans="1:27">
      <c r="A22" s="4"/>
      <c r="B22" s="5">
        <f t="shared" si="0"/>
        <v>21</v>
      </c>
      <c r="C22" s="5"/>
      <c r="D22" s="5"/>
      <c r="E22" s="5"/>
      <c r="F22" s="5"/>
      <c r="G22" s="5"/>
      <c r="H22" s="4"/>
      <c r="I22" s="4"/>
      <c r="J22" s="4"/>
      <c r="K22" s="4"/>
      <c r="L22" s="4"/>
      <c r="M22" s="4"/>
      <c r="N22" s="4"/>
      <c r="O22" s="4"/>
      <c r="P22" s="4"/>
      <c r="Q22" s="4"/>
      <c r="R22" s="4"/>
      <c r="S22" s="4"/>
      <c r="T22" s="4"/>
      <c r="U22" s="4"/>
      <c r="V22" s="4"/>
      <c r="W22" s="4"/>
      <c r="X22" s="4"/>
      <c r="Y22" s="4"/>
      <c r="Z22" s="4"/>
      <c r="AA22" s="4"/>
    </row>
    <row r="23" ht="15.75" customHeight="1" spans="1:27">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spans="1:27">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spans="1:27">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spans="1:27">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spans="1: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spans="1:27">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spans="1:27">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spans="1:27">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spans="1:27">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spans="1:27">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spans="1:2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spans="1:2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spans="1:2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spans="1:2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spans="1:2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spans="1:2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spans="1:2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spans="1:2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spans="1:2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spans="1:2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spans="1:2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spans="1:2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spans="1:2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spans="1:2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spans="1:2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spans="1:2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spans="1:2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spans="1:2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spans="1:2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spans="1:2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spans="1:27">
      <c r="B223" s="4"/>
    </row>
    <row r="224" ht="15.75" customHeight="1" spans="1:27">
      <c r="B224" s="4"/>
    </row>
    <row r="225" ht="15.75" customHeight="1" spans="2:2">
      <c r="B225" s="4"/>
    </row>
    <row r="226" ht="15.75" customHeight="1" spans="2:2">
      <c r="B226" s="4"/>
    </row>
    <row r="227" ht="15.75" customHeight="1" spans="2:2">
      <c r="B227" s="4"/>
    </row>
    <row r="228" ht="15.75" customHeight="1" spans="2:2">
      <c r="B228" s="4"/>
    </row>
    <row r="229" ht="15.75" customHeight="1" spans="2:2">
      <c r="B229" s="4"/>
    </row>
    <row r="230" ht="15.75" customHeight="1" spans="2:2">
      <c r="B230" s="4"/>
    </row>
    <row r="231" ht="15.75" customHeight="1" spans="2:2">
      <c r="B231" s="4"/>
    </row>
    <row r="232" ht="15.75" customHeight="1" spans="2:2">
      <c r="B232" s="4"/>
    </row>
    <row r="233" ht="15.75" customHeight="1" spans="2:2">
      <c r="B233" s="4"/>
    </row>
    <row r="234" ht="15.75" customHeight="1" spans="2:2">
      <c r="B234" s="4"/>
    </row>
    <row r="235" ht="15.75" customHeight="1" spans="2:2">
      <c r="B235" s="4"/>
    </row>
    <row r="236" ht="15.75" customHeight="1" spans="2:2">
      <c r="B236" s="4"/>
    </row>
    <row r="237" ht="15.75" customHeight="1" spans="2:2">
      <c r="B237" s="4"/>
    </row>
    <row r="238" ht="15.75" customHeight="1" spans="2:2">
      <c r="B238" s="4"/>
    </row>
    <row r="239" ht="15.75" customHeight="1" spans="2:2">
      <c r="B239" s="4"/>
    </row>
    <row r="240" ht="15.75" customHeight="1" spans="2:2">
      <c r="B240" s="4"/>
    </row>
    <row r="241" ht="15.75" customHeight="1" spans="2:2">
      <c r="B241" s="4"/>
    </row>
    <row r="242" ht="15.75" customHeight="1" spans="2:2">
      <c r="B242" s="4"/>
    </row>
    <row r="243" ht="15.75" customHeight="1" spans="2:2">
      <c r="B243" s="4"/>
    </row>
    <row r="244" ht="15.75" customHeight="1" spans="2:2">
      <c r="B244" s="4"/>
    </row>
    <row r="245" ht="15.75" customHeight="1" spans="2:2">
      <c r="B245" s="4"/>
    </row>
    <row r="246" ht="15.75" customHeight="1" spans="2:2">
      <c r="B246" s="4"/>
    </row>
    <row r="247" ht="15.75" customHeight="1" spans="2:2">
      <c r="B247" s="4"/>
    </row>
    <row r="248" ht="15.75" customHeight="1" spans="2:2">
      <c r="B248" s="4"/>
    </row>
    <row r="249" ht="15.75" customHeight="1" spans="2:2">
      <c r="B249" s="4"/>
    </row>
    <row r="250" ht="15.75" customHeight="1" spans="2:2">
      <c r="B250" s="4"/>
    </row>
    <row r="251" ht="15.75" customHeight="1" spans="2:2">
      <c r="B251" s="4"/>
    </row>
    <row r="252" ht="15.75" customHeight="1" spans="2:2">
      <c r="B252" s="4"/>
    </row>
    <row r="253" ht="15.75" customHeight="1" spans="2:2">
      <c r="B253" s="4"/>
    </row>
    <row r="254" ht="15.75" customHeight="1" spans="2:2">
      <c r="B254" s="4"/>
    </row>
    <row r="255" ht="15.75" customHeight="1" spans="2:2">
      <c r="B255" s="4"/>
    </row>
    <row r="256" ht="15.75" customHeight="1" spans="2:2">
      <c r="B256" s="4"/>
    </row>
    <row r="257" ht="15.75" customHeight="1" spans="2:2">
      <c r="B257" s="4"/>
    </row>
    <row r="258" ht="15.75" customHeight="1" spans="2:2">
      <c r="B258" s="4"/>
    </row>
    <row r="259" ht="15.75" customHeight="1" spans="2:2">
      <c r="B259" s="4"/>
    </row>
    <row r="260" ht="15.75" customHeight="1" spans="2:2">
      <c r="B260" s="4"/>
    </row>
    <row r="261" ht="15.75" customHeight="1" spans="2:2">
      <c r="B261" s="4"/>
    </row>
    <row r="262" ht="15.75" customHeight="1" spans="2:2">
      <c r="B262" s="4"/>
    </row>
    <row r="263" ht="15.75" customHeight="1" spans="2:2">
      <c r="B263" s="4"/>
    </row>
    <row r="264" ht="15.75" customHeight="1" spans="2:2">
      <c r="B264" s="4"/>
    </row>
    <row r="265" ht="15.75" customHeight="1" spans="2:2">
      <c r="B265" s="4"/>
    </row>
    <row r="266" ht="15.75" customHeight="1" spans="2:2">
      <c r="B266" s="4"/>
    </row>
    <row r="267" ht="15.75" customHeight="1" spans="2:2">
      <c r="B267" s="4"/>
    </row>
    <row r="268" ht="15.75" customHeight="1" spans="2:2">
      <c r="B268" s="4"/>
    </row>
    <row r="269" ht="15.75" customHeight="1" spans="2:2">
      <c r="B269" s="4"/>
    </row>
    <row r="270" ht="15.75" customHeight="1" spans="2:2">
      <c r="B270" s="4"/>
    </row>
    <row r="271" ht="15.75" customHeight="1" spans="2:2">
      <c r="B271" s="4"/>
    </row>
    <row r="272" ht="15.75" customHeight="1" spans="2:2">
      <c r="B272" s="4"/>
    </row>
    <row r="273" ht="15.75" customHeight="1" spans="2:2">
      <c r="B273" s="4"/>
    </row>
    <row r="274" ht="15.75" customHeight="1" spans="2:2">
      <c r="B274" s="4"/>
    </row>
    <row r="275" ht="15.75" customHeight="1" spans="2:2">
      <c r="B275" s="4"/>
    </row>
    <row r="276" ht="15.75" customHeight="1" spans="2:2">
      <c r="B276" s="4"/>
    </row>
    <row r="277" ht="15.75" customHeight="1" spans="2:2">
      <c r="B277" s="4"/>
    </row>
    <row r="278" ht="15.75" customHeight="1" spans="2:2">
      <c r="B278" s="4"/>
    </row>
    <row r="279" ht="15.75" customHeight="1" spans="2:2">
      <c r="B279" s="4"/>
    </row>
    <row r="280" ht="15.75" customHeight="1" spans="2:2">
      <c r="B280" s="4"/>
    </row>
    <row r="281" ht="15.75" customHeight="1" spans="2:2">
      <c r="B281" s="4"/>
    </row>
    <row r="282" ht="15.75" customHeight="1" spans="2:2">
      <c r="B282" s="4"/>
    </row>
    <row r="283" ht="15.75" customHeight="1" spans="2:2">
      <c r="B283" s="4"/>
    </row>
    <row r="284" ht="15.75" customHeight="1" spans="2:2">
      <c r="B284" s="4"/>
    </row>
    <row r="285" ht="15.75" customHeight="1" spans="2:2">
      <c r="B285" s="4"/>
    </row>
    <row r="286" ht="15.75" customHeight="1" spans="2:2">
      <c r="B286" s="4"/>
    </row>
    <row r="287" ht="15.75" customHeight="1" spans="2:2">
      <c r="B287" s="4"/>
    </row>
    <row r="288" ht="15.75" customHeight="1" spans="2:2">
      <c r="B288" s="4"/>
    </row>
    <row r="289" ht="15.75" customHeight="1" spans="2:2">
      <c r="B289" s="4"/>
    </row>
    <row r="290" ht="15.75" customHeight="1" spans="2:2">
      <c r="B290" s="4"/>
    </row>
    <row r="291" ht="15.75" customHeight="1" spans="2:2">
      <c r="B291" s="4"/>
    </row>
    <row r="292" ht="15.75" customHeight="1" spans="2:2">
      <c r="B292" s="4"/>
    </row>
    <row r="293" ht="15.75" customHeight="1" spans="2:2">
      <c r="B293" s="4"/>
    </row>
    <row r="294" ht="15.75" customHeight="1" spans="2:2">
      <c r="B294" s="4"/>
    </row>
    <row r="295" ht="15.75" customHeight="1" spans="2:2">
      <c r="B295" s="4"/>
    </row>
    <row r="296" ht="15.75" customHeight="1" spans="2:2">
      <c r="B296" s="4"/>
    </row>
    <row r="297" ht="15.75" customHeight="1" spans="2:2">
      <c r="B297" s="4"/>
    </row>
    <row r="298" ht="15.75" customHeight="1" spans="2:2">
      <c r="B298" s="4"/>
    </row>
    <row r="299" ht="15.75" customHeight="1" spans="2:2">
      <c r="B299" s="4"/>
    </row>
    <row r="300" ht="15.75" customHeight="1" spans="2:2">
      <c r="B300" s="4"/>
    </row>
    <row r="301" ht="15.75" customHeight="1" spans="2:2">
      <c r="B301" s="4"/>
    </row>
    <row r="302" ht="15.75" customHeight="1" spans="2:2">
      <c r="B302" s="4"/>
    </row>
    <row r="303" ht="15.75" customHeight="1" spans="2:2">
      <c r="B303" s="4"/>
    </row>
    <row r="304" ht="15.75" customHeight="1" spans="2:2">
      <c r="B304" s="4"/>
    </row>
    <row r="305" ht="15.75" customHeight="1" spans="2:2">
      <c r="B305" s="4"/>
    </row>
    <row r="306" ht="15.75" customHeight="1" spans="2:2">
      <c r="B306" s="4"/>
    </row>
    <row r="307" ht="15.75" customHeight="1" spans="2:2">
      <c r="B307" s="4"/>
    </row>
    <row r="308" ht="15.75" customHeight="1" spans="2:2">
      <c r="B308" s="4"/>
    </row>
    <row r="309" ht="15.75" customHeight="1" spans="2:2">
      <c r="B309" s="4"/>
    </row>
    <row r="310" ht="15.75" customHeight="1" spans="2:2">
      <c r="B310" s="4"/>
    </row>
    <row r="311" ht="15.75" customHeight="1" spans="2:2">
      <c r="B311" s="4"/>
    </row>
    <row r="312" ht="15.75" customHeight="1" spans="2:2">
      <c r="B312" s="4"/>
    </row>
    <row r="313" ht="15.75" customHeight="1" spans="2:2">
      <c r="B313" s="4"/>
    </row>
    <row r="314" ht="15.75" customHeight="1" spans="2:2">
      <c r="B314" s="4"/>
    </row>
    <row r="315" ht="15.75" customHeight="1" spans="2:2">
      <c r="B315" s="4"/>
    </row>
    <row r="316" ht="15.75" customHeight="1" spans="2:2">
      <c r="B316" s="4"/>
    </row>
    <row r="317" ht="15.75" customHeight="1" spans="2:2">
      <c r="B317" s="4"/>
    </row>
    <row r="318" ht="15.75" customHeight="1" spans="2:2">
      <c r="B318" s="4"/>
    </row>
    <row r="319" ht="15.75" customHeight="1" spans="2:2">
      <c r="B319" s="4"/>
    </row>
    <row r="320" ht="15.75" customHeight="1" spans="2:2">
      <c r="B320" s="4"/>
    </row>
    <row r="321" ht="15.75" customHeight="1" spans="2:2">
      <c r="B321" s="4"/>
    </row>
    <row r="322" ht="15.75" customHeight="1" spans="2:2">
      <c r="B322" s="4"/>
    </row>
    <row r="323" ht="15.75" customHeight="1" spans="2:2">
      <c r="B323" s="4"/>
    </row>
    <row r="324" ht="15.75" customHeight="1" spans="2:2">
      <c r="B324" s="4"/>
    </row>
    <row r="325" ht="15.75" customHeight="1" spans="2:2">
      <c r="B325" s="4"/>
    </row>
    <row r="326" ht="15.75" customHeight="1" spans="2:2">
      <c r="B326" s="4"/>
    </row>
    <row r="327" ht="15.75" customHeight="1" spans="2:2">
      <c r="B327" s="4"/>
    </row>
    <row r="328" ht="15.75" customHeight="1" spans="2:2">
      <c r="B328" s="4"/>
    </row>
    <row r="329" ht="15.75" customHeight="1" spans="2:2">
      <c r="B329" s="4"/>
    </row>
    <row r="330" ht="15.75" customHeight="1" spans="2:2">
      <c r="B330" s="4"/>
    </row>
    <row r="331" ht="15.75" customHeight="1" spans="2:2">
      <c r="B331" s="4"/>
    </row>
    <row r="332" ht="15.75" customHeight="1" spans="2:2">
      <c r="B332" s="4"/>
    </row>
    <row r="333" ht="15.75" customHeight="1" spans="2:2">
      <c r="B333" s="4"/>
    </row>
    <row r="334" ht="15.75" customHeight="1" spans="2:2">
      <c r="B334" s="4"/>
    </row>
    <row r="335" ht="15.75" customHeight="1" spans="2:2">
      <c r="B335" s="4"/>
    </row>
    <row r="336" ht="15.75" customHeight="1" spans="2:2">
      <c r="B336" s="4"/>
    </row>
    <row r="337" ht="15.75" customHeight="1" spans="2:2">
      <c r="B337" s="4"/>
    </row>
    <row r="338" ht="15.75" customHeight="1" spans="2:2">
      <c r="B338" s="4"/>
    </row>
    <row r="339" ht="15.75" customHeight="1" spans="2:2">
      <c r="B339" s="4"/>
    </row>
    <row r="340" ht="15.75" customHeight="1" spans="2:2">
      <c r="B340" s="4"/>
    </row>
    <row r="341" ht="15.75" customHeight="1" spans="2:2">
      <c r="B341" s="4"/>
    </row>
    <row r="342" ht="15.75" customHeight="1" spans="2:2">
      <c r="B342" s="4"/>
    </row>
    <row r="343" ht="15.75" customHeight="1" spans="2:2">
      <c r="B343" s="4"/>
    </row>
    <row r="344" ht="15.75" customHeight="1" spans="2:2">
      <c r="B344" s="4"/>
    </row>
    <row r="345" ht="15.75" customHeight="1" spans="2:2">
      <c r="B345" s="4"/>
    </row>
    <row r="346" ht="15.75" customHeight="1" spans="2:2">
      <c r="B346" s="4"/>
    </row>
    <row r="347" ht="15.75" customHeight="1" spans="2:2">
      <c r="B347" s="4"/>
    </row>
    <row r="348" ht="15.75" customHeight="1" spans="2:2">
      <c r="B348" s="4"/>
    </row>
    <row r="349" ht="15.75" customHeight="1" spans="2:2">
      <c r="B349" s="4"/>
    </row>
    <row r="350" ht="15.75" customHeight="1" spans="2:2">
      <c r="B350" s="4"/>
    </row>
    <row r="351" ht="15.75" customHeight="1" spans="2:2">
      <c r="B351" s="4"/>
    </row>
    <row r="352" ht="15.75" customHeight="1" spans="2:2">
      <c r="B352" s="4"/>
    </row>
    <row r="353" ht="15.75" customHeight="1" spans="2:2">
      <c r="B353" s="4"/>
    </row>
    <row r="354" ht="15.75" customHeight="1" spans="2:2">
      <c r="B354" s="4"/>
    </row>
    <row r="355" ht="15.75" customHeight="1" spans="2:2">
      <c r="B355" s="4"/>
    </row>
    <row r="356" ht="15.75" customHeight="1" spans="2:2">
      <c r="B356" s="4"/>
    </row>
    <row r="357" ht="15.75" customHeight="1" spans="2:2">
      <c r="B357" s="4"/>
    </row>
    <row r="358" ht="15.75" customHeight="1" spans="2:2">
      <c r="B358" s="4"/>
    </row>
    <row r="359" ht="15.75" customHeight="1" spans="2:2">
      <c r="B359" s="4"/>
    </row>
    <row r="360" ht="15.75" customHeight="1" spans="2:2">
      <c r="B360" s="4"/>
    </row>
    <row r="361" ht="15.75" customHeight="1" spans="2:2">
      <c r="B361" s="4"/>
    </row>
    <row r="362" ht="15.75" customHeight="1" spans="2:2">
      <c r="B362" s="4"/>
    </row>
    <row r="363" ht="15.75" customHeight="1" spans="2:2">
      <c r="B363" s="4"/>
    </row>
    <row r="364" ht="15.75" customHeight="1" spans="2:2">
      <c r="B364" s="4"/>
    </row>
    <row r="365" ht="15.75" customHeight="1" spans="2:2">
      <c r="B365" s="4"/>
    </row>
    <row r="366" ht="15.75" customHeight="1" spans="2:2">
      <c r="B366" s="4"/>
    </row>
    <row r="367" ht="15.75" customHeight="1" spans="2:2">
      <c r="B367" s="4"/>
    </row>
    <row r="368" ht="15.75" customHeight="1" spans="2:2">
      <c r="B368" s="4"/>
    </row>
    <row r="369" ht="15.75" customHeight="1" spans="2:2">
      <c r="B369" s="4"/>
    </row>
    <row r="370" ht="15.75" customHeight="1" spans="2:2">
      <c r="B370" s="4"/>
    </row>
    <row r="371" ht="15.75" customHeight="1" spans="2:2">
      <c r="B371" s="4"/>
    </row>
    <row r="372" ht="15.75" customHeight="1" spans="2:2">
      <c r="B372" s="4"/>
    </row>
    <row r="373" ht="15.75" customHeight="1" spans="2:2">
      <c r="B373" s="4"/>
    </row>
    <row r="374" ht="15.75" customHeight="1" spans="2:2">
      <c r="B374" s="4"/>
    </row>
    <row r="375" ht="15.75" customHeight="1" spans="2:2">
      <c r="B375" s="4"/>
    </row>
    <row r="376" ht="15.75" customHeight="1" spans="2:2">
      <c r="B376" s="4"/>
    </row>
    <row r="377" ht="15.75" customHeight="1" spans="2:2">
      <c r="B377" s="4"/>
    </row>
    <row r="378" ht="15.75" customHeight="1" spans="2:2">
      <c r="B378" s="4"/>
    </row>
    <row r="379" ht="15.75" customHeight="1" spans="2:2">
      <c r="B379" s="4"/>
    </row>
    <row r="380" ht="15.75" customHeight="1" spans="2:2">
      <c r="B380" s="4"/>
    </row>
    <row r="381" ht="15.75" customHeight="1" spans="2:2">
      <c r="B381" s="4"/>
    </row>
    <row r="382" ht="15.75" customHeight="1" spans="2:2">
      <c r="B382" s="4"/>
    </row>
    <row r="383" ht="15.75" customHeight="1" spans="2:2">
      <c r="B383" s="4"/>
    </row>
    <row r="384" ht="15.75" customHeight="1" spans="2:2">
      <c r="B384" s="4"/>
    </row>
    <row r="385" ht="15.75" customHeight="1" spans="2:2">
      <c r="B385" s="4"/>
    </row>
    <row r="386" ht="15.75" customHeight="1" spans="2:2">
      <c r="B386" s="4"/>
    </row>
    <row r="387" ht="15.75" customHeight="1" spans="2:2">
      <c r="B387" s="4"/>
    </row>
    <row r="388" ht="15.75" customHeight="1" spans="2:2">
      <c r="B388" s="4"/>
    </row>
    <row r="389" ht="15.75" customHeight="1" spans="2:2">
      <c r="B389" s="4"/>
    </row>
    <row r="390" ht="15.75" customHeight="1" spans="2:2">
      <c r="B390" s="4"/>
    </row>
    <row r="391" ht="15.75" customHeight="1" spans="2:2">
      <c r="B391" s="4"/>
    </row>
    <row r="392" ht="15.75" customHeight="1" spans="2:2">
      <c r="B392" s="4"/>
    </row>
    <row r="393" ht="15.75" customHeight="1" spans="2:2">
      <c r="B393" s="4"/>
    </row>
    <row r="394" ht="15.75" customHeight="1" spans="2:2">
      <c r="B394" s="4"/>
    </row>
    <row r="395" ht="15.75" customHeight="1" spans="2:2">
      <c r="B395" s="4"/>
    </row>
    <row r="396" ht="15.75" customHeight="1" spans="2:2">
      <c r="B396" s="4"/>
    </row>
    <row r="397" ht="15.75" customHeight="1" spans="2:2">
      <c r="B397" s="4"/>
    </row>
    <row r="398" ht="15.75" customHeight="1" spans="2:2">
      <c r="B398" s="4"/>
    </row>
    <row r="399" ht="15.75" customHeight="1" spans="2:2">
      <c r="B399" s="4"/>
    </row>
    <row r="400" ht="15.75" customHeight="1" spans="2:2">
      <c r="B400" s="4"/>
    </row>
    <row r="401" ht="15.75" customHeight="1" spans="2:2">
      <c r="B401" s="4"/>
    </row>
    <row r="402" ht="15.75" customHeight="1" spans="2:2">
      <c r="B402" s="4"/>
    </row>
    <row r="403" ht="15.75" customHeight="1" spans="2:2">
      <c r="B403" s="4"/>
    </row>
    <row r="404" ht="15.75" customHeight="1" spans="2:2">
      <c r="B404" s="4"/>
    </row>
    <row r="405" ht="15.75" customHeight="1" spans="2:2">
      <c r="B405" s="4"/>
    </row>
    <row r="406" ht="15.75" customHeight="1" spans="2:2">
      <c r="B406" s="4"/>
    </row>
    <row r="407" ht="15.75" customHeight="1" spans="2:2">
      <c r="B407" s="4"/>
    </row>
    <row r="408" ht="15.75" customHeight="1" spans="2:2">
      <c r="B408" s="4"/>
    </row>
    <row r="409" ht="15.75" customHeight="1" spans="2:2">
      <c r="B409" s="4"/>
    </row>
    <row r="410" ht="15.75" customHeight="1" spans="2:2">
      <c r="B410" s="4"/>
    </row>
    <row r="411" ht="15.75" customHeight="1" spans="2:2">
      <c r="B411" s="4"/>
    </row>
    <row r="412" ht="15.75" customHeight="1" spans="2:2">
      <c r="B412" s="4"/>
    </row>
    <row r="413" ht="15.75" customHeight="1" spans="2:2">
      <c r="B413" s="4"/>
    </row>
    <row r="414" ht="15.75" customHeight="1" spans="2:2">
      <c r="B414" s="4"/>
    </row>
    <row r="415" ht="15.75" customHeight="1" spans="2:2">
      <c r="B415" s="4"/>
    </row>
    <row r="416" ht="15.75" customHeight="1" spans="2:2">
      <c r="B416" s="4"/>
    </row>
    <row r="417" ht="15.75" customHeight="1" spans="2:2">
      <c r="B417" s="4"/>
    </row>
    <row r="418" ht="15.75" customHeight="1" spans="2:2">
      <c r="B418" s="4"/>
    </row>
    <row r="419" ht="15.75" customHeight="1" spans="2:2">
      <c r="B419" s="4"/>
    </row>
    <row r="420" ht="15.75" customHeight="1" spans="2:2">
      <c r="B420" s="4"/>
    </row>
    <row r="421" ht="15.75" customHeight="1" spans="2:2">
      <c r="B421" s="4"/>
    </row>
    <row r="422" ht="15.75" customHeight="1" spans="2:2">
      <c r="B422" s="4"/>
    </row>
    <row r="423" ht="15.75" customHeight="1" spans="2:2">
      <c r="B423" s="4"/>
    </row>
    <row r="424" ht="15.75" customHeight="1" spans="2:2">
      <c r="B424" s="4"/>
    </row>
    <row r="425" ht="15.75" customHeight="1" spans="2:2">
      <c r="B425" s="4"/>
    </row>
    <row r="426" ht="15.75" customHeight="1" spans="2:2">
      <c r="B426" s="4"/>
    </row>
    <row r="427" ht="15.75" customHeight="1" spans="2:2">
      <c r="B427" s="4"/>
    </row>
    <row r="428" ht="15.75" customHeight="1" spans="2:2">
      <c r="B428" s="4"/>
    </row>
    <row r="429" ht="15.75" customHeight="1" spans="2:2">
      <c r="B429" s="4"/>
    </row>
    <row r="430" ht="15.75" customHeight="1" spans="2:2">
      <c r="B430" s="4"/>
    </row>
    <row r="431" ht="15.75" customHeight="1" spans="2:2">
      <c r="B431" s="4"/>
    </row>
    <row r="432" ht="15.75" customHeight="1" spans="2:2">
      <c r="B432" s="4"/>
    </row>
    <row r="433" ht="15.75" customHeight="1" spans="2:2">
      <c r="B433" s="4"/>
    </row>
    <row r="434" ht="15.75" customHeight="1" spans="2:2">
      <c r="B434" s="4"/>
    </row>
    <row r="435" ht="15.75" customHeight="1" spans="2:2">
      <c r="B435" s="4"/>
    </row>
    <row r="436" ht="15.75" customHeight="1" spans="2:2">
      <c r="B436" s="4"/>
    </row>
    <row r="437" ht="15.75" customHeight="1" spans="2:2">
      <c r="B437" s="4"/>
    </row>
    <row r="438" ht="15.75" customHeight="1" spans="2:2">
      <c r="B438" s="4"/>
    </row>
    <row r="439" ht="15.75" customHeight="1" spans="2:2">
      <c r="B439" s="4"/>
    </row>
    <row r="440" ht="15.75" customHeight="1" spans="2:2">
      <c r="B440" s="4"/>
    </row>
    <row r="441" ht="15.75" customHeight="1" spans="2:2">
      <c r="B441" s="4"/>
    </row>
    <row r="442" ht="15.75" customHeight="1" spans="2:2">
      <c r="B442" s="4"/>
    </row>
    <row r="443" ht="15.75" customHeight="1" spans="2:2">
      <c r="B443" s="4"/>
    </row>
    <row r="444" ht="15.75" customHeight="1" spans="2:2">
      <c r="B444" s="4"/>
    </row>
    <row r="445" ht="15.75" customHeight="1" spans="2:2">
      <c r="B445" s="4"/>
    </row>
    <row r="446" ht="15.75" customHeight="1" spans="2:2">
      <c r="B446" s="4"/>
    </row>
    <row r="447" ht="15.75" customHeight="1" spans="2:2">
      <c r="B447" s="4"/>
    </row>
    <row r="448" ht="15.75" customHeight="1" spans="2:2">
      <c r="B448" s="4"/>
    </row>
    <row r="449" ht="15.75" customHeight="1" spans="2:2">
      <c r="B449" s="4"/>
    </row>
    <row r="450" ht="15.75" customHeight="1" spans="2:2">
      <c r="B450" s="4"/>
    </row>
    <row r="451" ht="15.75" customHeight="1" spans="2:2">
      <c r="B451" s="4"/>
    </row>
    <row r="452" ht="15.75" customHeight="1" spans="2:2">
      <c r="B452" s="4"/>
    </row>
    <row r="453" ht="15.75" customHeight="1" spans="2:2">
      <c r="B453" s="4"/>
    </row>
    <row r="454" ht="15.75" customHeight="1" spans="2:2">
      <c r="B454" s="4"/>
    </row>
    <row r="455" ht="15.75" customHeight="1" spans="2:2">
      <c r="B455" s="4"/>
    </row>
    <row r="456" ht="15.75" customHeight="1" spans="2:2">
      <c r="B456" s="4"/>
    </row>
    <row r="457" ht="15.75" customHeight="1" spans="2:2">
      <c r="B457" s="4"/>
    </row>
    <row r="458" ht="15.75" customHeight="1" spans="2:2">
      <c r="B458" s="4"/>
    </row>
    <row r="459" ht="15.75" customHeight="1" spans="2:2">
      <c r="B459" s="4"/>
    </row>
    <row r="460" ht="15.75" customHeight="1" spans="2:2">
      <c r="B460" s="4"/>
    </row>
    <row r="461" ht="15.75" customHeight="1" spans="2:2">
      <c r="B461" s="4"/>
    </row>
    <row r="462" ht="15.75" customHeight="1" spans="2:2">
      <c r="B462" s="4"/>
    </row>
    <row r="463" ht="15.75" customHeight="1" spans="2:2">
      <c r="B463" s="4"/>
    </row>
    <row r="464" ht="15.75" customHeight="1" spans="2:2">
      <c r="B464" s="4"/>
    </row>
    <row r="465" ht="15.75" customHeight="1" spans="2:2">
      <c r="B465" s="4"/>
    </row>
    <row r="466" ht="15.75" customHeight="1" spans="2:2">
      <c r="B466" s="4"/>
    </row>
    <row r="467" ht="15.75" customHeight="1" spans="2:2">
      <c r="B467" s="4"/>
    </row>
    <row r="468" ht="15.75" customHeight="1" spans="2:2">
      <c r="B468" s="4"/>
    </row>
    <row r="469" ht="15.75" customHeight="1" spans="2:2">
      <c r="B469" s="4"/>
    </row>
    <row r="470" ht="15.75" customHeight="1" spans="2:2">
      <c r="B470" s="4"/>
    </row>
    <row r="471" ht="15.75" customHeight="1" spans="2:2">
      <c r="B471" s="4"/>
    </row>
    <row r="472" ht="15.75" customHeight="1" spans="2:2">
      <c r="B472" s="4"/>
    </row>
    <row r="473" ht="15.75" customHeight="1" spans="2:2">
      <c r="B473" s="4"/>
    </row>
    <row r="474" ht="15.75" customHeight="1" spans="2:2">
      <c r="B474" s="4"/>
    </row>
    <row r="475" ht="15.75" customHeight="1" spans="2:2">
      <c r="B475" s="4"/>
    </row>
    <row r="476" ht="15.75" customHeight="1" spans="2:2">
      <c r="B476" s="4"/>
    </row>
    <row r="477" ht="15.75" customHeight="1" spans="2:2">
      <c r="B477" s="4"/>
    </row>
    <row r="478" ht="15.75" customHeight="1" spans="2:2">
      <c r="B478" s="4"/>
    </row>
    <row r="479" ht="15.75" customHeight="1" spans="2:2">
      <c r="B479" s="4"/>
    </row>
    <row r="480" ht="15.75" customHeight="1" spans="2:2">
      <c r="B480" s="4"/>
    </row>
    <row r="481" ht="15.75" customHeight="1" spans="2:2">
      <c r="B481" s="4"/>
    </row>
    <row r="482" ht="15.75" customHeight="1" spans="2:2">
      <c r="B482" s="4"/>
    </row>
    <row r="483" ht="15.75" customHeight="1" spans="2:2">
      <c r="B483" s="4"/>
    </row>
    <row r="484" ht="15.75" customHeight="1" spans="2:2">
      <c r="B484" s="4"/>
    </row>
    <row r="485" ht="15.75" customHeight="1" spans="2:2">
      <c r="B485" s="4"/>
    </row>
    <row r="486" ht="15.75" customHeight="1" spans="2:2">
      <c r="B486" s="4"/>
    </row>
    <row r="487" ht="15.75" customHeight="1" spans="2:2">
      <c r="B487" s="4"/>
    </row>
    <row r="488" ht="15.75" customHeight="1" spans="2:2">
      <c r="B488" s="4"/>
    </row>
    <row r="489" ht="15.75" customHeight="1" spans="2:2">
      <c r="B489" s="4"/>
    </row>
    <row r="490" ht="15.75" customHeight="1" spans="2:2">
      <c r="B490" s="4"/>
    </row>
    <row r="491" ht="15.75" customHeight="1" spans="2:2">
      <c r="B491" s="4"/>
    </row>
    <row r="492" ht="15.75" customHeight="1" spans="2:2">
      <c r="B492" s="4"/>
    </row>
    <row r="493" ht="15.75" customHeight="1" spans="2:2">
      <c r="B493" s="4"/>
    </row>
    <row r="494" ht="15.75" customHeight="1" spans="2:2">
      <c r="B494" s="4"/>
    </row>
    <row r="495" ht="15.75" customHeight="1" spans="2:2">
      <c r="B495" s="4"/>
    </row>
    <row r="496" ht="15.75" customHeight="1" spans="2:2">
      <c r="B496" s="4"/>
    </row>
    <row r="497" ht="15.75" customHeight="1" spans="2:2">
      <c r="B497" s="4"/>
    </row>
    <row r="498" ht="15.75" customHeight="1" spans="2:2">
      <c r="B498" s="4"/>
    </row>
    <row r="499" ht="15.75" customHeight="1" spans="2:2">
      <c r="B499" s="4"/>
    </row>
    <row r="500" ht="15.75" customHeight="1" spans="2:2">
      <c r="B500" s="4"/>
    </row>
    <row r="501" ht="15.75" customHeight="1" spans="2:2">
      <c r="B501" s="4"/>
    </row>
    <row r="502" ht="15.75" customHeight="1" spans="2:2">
      <c r="B502" s="4"/>
    </row>
    <row r="503" ht="15.75" customHeight="1" spans="2:2">
      <c r="B503" s="4"/>
    </row>
    <row r="504" ht="15.75" customHeight="1" spans="2:2">
      <c r="B504" s="4"/>
    </row>
    <row r="505" ht="15.75" customHeight="1" spans="2:2">
      <c r="B505" s="4"/>
    </row>
    <row r="506" ht="15.75" customHeight="1" spans="2:2">
      <c r="B506" s="4"/>
    </row>
    <row r="507" ht="15.75" customHeight="1" spans="2:2">
      <c r="B507" s="4"/>
    </row>
    <row r="508" ht="15.75" customHeight="1" spans="2:2">
      <c r="B508" s="4"/>
    </row>
    <row r="509" ht="15.75" customHeight="1" spans="2:2">
      <c r="B509" s="4"/>
    </row>
    <row r="510" ht="15.75" customHeight="1" spans="2:2">
      <c r="B510" s="4"/>
    </row>
    <row r="511" ht="15.75" customHeight="1" spans="2:2">
      <c r="B511" s="4"/>
    </row>
    <row r="512" ht="15.75" customHeight="1" spans="2:2">
      <c r="B512" s="4"/>
    </row>
    <row r="513" ht="15.75" customHeight="1" spans="2:2">
      <c r="B513" s="4"/>
    </row>
    <row r="514" ht="15.75" customHeight="1" spans="2:2">
      <c r="B514" s="4"/>
    </row>
    <row r="515" ht="15.75" customHeight="1" spans="2:2">
      <c r="B515" s="4"/>
    </row>
    <row r="516" ht="15.75" customHeight="1" spans="2:2">
      <c r="B516" s="4"/>
    </row>
    <row r="517" ht="15.75" customHeight="1" spans="2:2">
      <c r="B517" s="4"/>
    </row>
    <row r="518" ht="15.75" customHeight="1" spans="2:2">
      <c r="B518" s="4"/>
    </row>
    <row r="519" ht="15.75" customHeight="1" spans="2:2">
      <c r="B519" s="4"/>
    </row>
    <row r="520" ht="15.75" customHeight="1" spans="2:2">
      <c r="B520" s="4"/>
    </row>
    <row r="521" ht="15.75" customHeight="1" spans="2:2">
      <c r="B521" s="4"/>
    </row>
    <row r="522" ht="15.75" customHeight="1" spans="2:2">
      <c r="B522" s="4"/>
    </row>
    <row r="523" ht="15.75" customHeight="1" spans="2:2">
      <c r="B523" s="4"/>
    </row>
    <row r="524" ht="15.75" customHeight="1" spans="2:2">
      <c r="B524" s="4"/>
    </row>
    <row r="525" ht="15.75" customHeight="1" spans="2:2">
      <c r="B525" s="4"/>
    </row>
    <row r="526" ht="15.75" customHeight="1" spans="2:2">
      <c r="B526" s="4"/>
    </row>
    <row r="527" ht="15.75" customHeight="1" spans="2:2">
      <c r="B527" s="4"/>
    </row>
    <row r="528" ht="15.75" customHeight="1" spans="2:2">
      <c r="B528" s="4"/>
    </row>
    <row r="529" ht="15.75" customHeight="1" spans="2:2">
      <c r="B529" s="4"/>
    </row>
    <row r="530" ht="15.75" customHeight="1" spans="2:2">
      <c r="B530" s="4"/>
    </row>
    <row r="531" ht="15.75" customHeight="1" spans="2:2">
      <c r="B531" s="4"/>
    </row>
    <row r="532" ht="15.75" customHeight="1" spans="2:2">
      <c r="B532" s="4"/>
    </row>
    <row r="533" ht="15.75" customHeight="1" spans="2:2">
      <c r="B533" s="4"/>
    </row>
    <row r="534" ht="15.75" customHeight="1" spans="2:2">
      <c r="B534" s="4"/>
    </row>
    <row r="535" ht="15.75" customHeight="1" spans="2:2">
      <c r="B535" s="4"/>
    </row>
    <row r="536" ht="15.75" customHeight="1" spans="2:2">
      <c r="B536" s="4"/>
    </row>
    <row r="537" ht="15.75" customHeight="1" spans="2:2">
      <c r="B537" s="4"/>
    </row>
    <row r="538" ht="15.75" customHeight="1" spans="2:2">
      <c r="B538" s="4"/>
    </row>
    <row r="539" ht="15.75" customHeight="1" spans="2:2">
      <c r="B539" s="4"/>
    </row>
    <row r="540" ht="15.75" customHeight="1" spans="2:2">
      <c r="B540" s="4"/>
    </row>
    <row r="541" ht="15.75" customHeight="1" spans="2:2">
      <c r="B541" s="4"/>
    </row>
    <row r="542" ht="15.75" customHeight="1" spans="2:2">
      <c r="B542" s="4"/>
    </row>
    <row r="543" ht="15.75" customHeight="1" spans="2:2">
      <c r="B543" s="4"/>
    </row>
    <row r="544" ht="15.75" customHeight="1" spans="2:2">
      <c r="B544" s="4"/>
    </row>
    <row r="545" ht="15.75" customHeight="1" spans="2:2">
      <c r="B545" s="4"/>
    </row>
    <row r="546" ht="15.75" customHeight="1" spans="2:2">
      <c r="B546" s="4"/>
    </row>
    <row r="547" ht="15.75" customHeight="1" spans="2:2">
      <c r="B547" s="4"/>
    </row>
    <row r="548" ht="15.75" customHeight="1" spans="2:2">
      <c r="B548" s="4"/>
    </row>
    <row r="549" ht="15.75" customHeight="1" spans="2:2">
      <c r="B549" s="4"/>
    </row>
    <row r="550" ht="15.75" customHeight="1" spans="2:2">
      <c r="B550" s="4"/>
    </row>
    <row r="551" ht="15.75" customHeight="1" spans="2:2">
      <c r="B551" s="4"/>
    </row>
    <row r="552" ht="15.75" customHeight="1" spans="2:2">
      <c r="B552" s="4"/>
    </row>
    <row r="553" ht="15.75" customHeight="1" spans="2:2">
      <c r="B553" s="4"/>
    </row>
    <row r="554" ht="15.75" customHeight="1" spans="2:2">
      <c r="B554" s="4"/>
    </row>
    <row r="555" ht="15.75" customHeight="1" spans="2:2">
      <c r="B555" s="4"/>
    </row>
    <row r="556" ht="15.75" customHeight="1" spans="2:2">
      <c r="B556" s="4"/>
    </row>
    <row r="557" ht="15.75" customHeight="1" spans="2:2">
      <c r="B557" s="4"/>
    </row>
    <row r="558" ht="15.75" customHeight="1" spans="2:2">
      <c r="B558" s="4"/>
    </row>
    <row r="559" ht="15.75" customHeight="1" spans="2:2">
      <c r="B559" s="4"/>
    </row>
    <row r="560" ht="15.75" customHeight="1" spans="2:2">
      <c r="B560" s="4"/>
    </row>
    <row r="561" ht="15.75" customHeight="1" spans="2:2">
      <c r="B561" s="4"/>
    </row>
    <row r="562" ht="15.75" customHeight="1" spans="2:2">
      <c r="B562" s="4"/>
    </row>
    <row r="563" ht="15.75" customHeight="1" spans="2:2">
      <c r="B563" s="4"/>
    </row>
    <row r="564" ht="15.75" customHeight="1" spans="2:2">
      <c r="B564" s="4"/>
    </row>
    <row r="565" ht="15.75" customHeight="1" spans="2:2">
      <c r="B565" s="4"/>
    </row>
    <row r="566" ht="15.75" customHeight="1" spans="2:2">
      <c r="B566" s="4"/>
    </row>
    <row r="567" ht="15.75" customHeight="1" spans="2:2">
      <c r="B567" s="4"/>
    </row>
    <row r="568" ht="15.75" customHeight="1" spans="2:2">
      <c r="B568" s="4"/>
    </row>
    <row r="569" ht="15.75" customHeight="1" spans="2:2">
      <c r="B569" s="4"/>
    </row>
    <row r="570" ht="15.75" customHeight="1" spans="2:2">
      <c r="B570" s="4"/>
    </row>
    <row r="571" ht="15.75" customHeight="1" spans="2:2">
      <c r="B571" s="4"/>
    </row>
    <row r="572" ht="15.75" customHeight="1" spans="2:2">
      <c r="B572" s="4"/>
    </row>
    <row r="573" ht="15.75" customHeight="1" spans="2:2">
      <c r="B573" s="4"/>
    </row>
    <row r="574" ht="15.75" customHeight="1" spans="2:2">
      <c r="B574" s="4"/>
    </row>
    <row r="575" ht="15.75" customHeight="1" spans="2:2">
      <c r="B575" s="4"/>
    </row>
    <row r="576" ht="15.75" customHeight="1" spans="2:2">
      <c r="B576" s="4"/>
    </row>
    <row r="577" ht="15.75" customHeight="1" spans="2:2">
      <c r="B577" s="4"/>
    </row>
    <row r="578" ht="15.75" customHeight="1" spans="2:2">
      <c r="B578" s="4"/>
    </row>
    <row r="579" ht="15.75" customHeight="1" spans="2:2">
      <c r="B579" s="4"/>
    </row>
    <row r="580" ht="15.75" customHeight="1" spans="2:2">
      <c r="B580" s="4"/>
    </row>
    <row r="581" ht="15.75" customHeight="1" spans="2:2">
      <c r="B581" s="4"/>
    </row>
    <row r="582" ht="15.75" customHeight="1" spans="2:2">
      <c r="B582" s="4"/>
    </row>
    <row r="583" ht="15.75" customHeight="1" spans="2:2">
      <c r="B583" s="4"/>
    </row>
    <row r="584" ht="15.75" customHeight="1" spans="2:2">
      <c r="B584" s="4"/>
    </row>
    <row r="585" ht="15.75" customHeight="1" spans="2:2">
      <c r="B585" s="4"/>
    </row>
    <row r="586" ht="15.75" customHeight="1" spans="2:2">
      <c r="B586" s="4"/>
    </row>
    <row r="587" ht="15.75" customHeight="1" spans="2:2">
      <c r="B587" s="4"/>
    </row>
    <row r="588" ht="15.75" customHeight="1" spans="2:2">
      <c r="B588" s="4"/>
    </row>
    <row r="589" ht="15.75" customHeight="1" spans="2:2">
      <c r="B589" s="4"/>
    </row>
    <row r="590" ht="15.75" customHeight="1" spans="2:2">
      <c r="B590" s="4"/>
    </row>
    <row r="591" ht="15.75" customHeight="1" spans="2:2">
      <c r="B591" s="4"/>
    </row>
    <row r="592" ht="15.75" customHeight="1" spans="2:2">
      <c r="B592" s="4"/>
    </row>
    <row r="593" ht="15.75" customHeight="1" spans="2:2">
      <c r="B593" s="4"/>
    </row>
    <row r="594" ht="15.75" customHeight="1" spans="2:2">
      <c r="B594" s="4"/>
    </row>
    <row r="595" ht="15.75" customHeight="1" spans="2:2">
      <c r="B595" s="4"/>
    </row>
    <row r="596" ht="15.75" customHeight="1" spans="2:2">
      <c r="B596" s="4"/>
    </row>
    <row r="597" ht="15.75" customHeight="1" spans="2:2">
      <c r="B597" s="4"/>
    </row>
    <row r="598" ht="15.75" customHeight="1" spans="2:2">
      <c r="B598" s="4"/>
    </row>
    <row r="599" ht="15.75" customHeight="1" spans="2:2">
      <c r="B599" s="4"/>
    </row>
    <row r="600" ht="15.75" customHeight="1" spans="2:2">
      <c r="B600" s="4"/>
    </row>
    <row r="601" ht="15.75" customHeight="1" spans="2:2">
      <c r="B601" s="4"/>
    </row>
    <row r="602" ht="15.75" customHeight="1" spans="2:2">
      <c r="B602" s="4"/>
    </row>
    <row r="603" ht="15.75" customHeight="1" spans="2:2">
      <c r="B603" s="4"/>
    </row>
    <row r="604" ht="15.75" customHeight="1" spans="2:2">
      <c r="B604" s="4"/>
    </row>
    <row r="605" ht="15.75" customHeight="1" spans="2:2">
      <c r="B605" s="4"/>
    </row>
    <row r="606" ht="15.75" customHeight="1" spans="2:2">
      <c r="B606" s="4"/>
    </row>
    <row r="607" ht="15.75" customHeight="1" spans="2:2">
      <c r="B607" s="4"/>
    </row>
    <row r="608" ht="15.75" customHeight="1" spans="2:2">
      <c r="B608" s="4"/>
    </row>
    <row r="609" ht="15.75" customHeight="1" spans="2:2">
      <c r="B609" s="4"/>
    </row>
    <row r="610" ht="15.75" customHeight="1" spans="2:2">
      <c r="B610" s="4"/>
    </row>
    <row r="611" ht="15.75" customHeight="1" spans="2:2">
      <c r="B611" s="4"/>
    </row>
    <row r="612" ht="15.75" customHeight="1" spans="2:2">
      <c r="B612" s="4"/>
    </row>
    <row r="613" ht="15.75" customHeight="1" spans="2:2">
      <c r="B613" s="4"/>
    </row>
    <row r="614" ht="15.75" customHeight="1" spans="2:2">
      <c r="B614" s="4"/>
    </row>
    <row r="615" ht="15.75" customHeight="1" spans="2:2">
      <c r="B615" s="4"/>
    </row>
    <row r="616" ht="15.75" customHeight="1" spans="2:2">
      <c r="B616" s="4"/>
    </row>
    <row r="617" ht="15.75" customHeight="1" spans="2:2">
      <c r="B617" s="4"/>
    </row>
    <row r="618" ht="15.75" customHeight="1" spans="2:2">
      <c r="B618" s="4"/>
    </row>
    <row r="619" ht="15.75" customHeight="1" spans="2:2">
      <c r="B619" s="4"/>
    </row>
    <row r="620" ht="15.75" customHeight="1" spans="2:2">
      <c r="B620" s="4"/>
    </row>
    <row r="621" ht="15.75" customHeight="1" spans="2:2">
      <c r="B621" s="4"/>
    </row>
    <row r="622" ht="15.75" customHeight="1" spans="2:2">
      <c r="B622" s="4"/>
    </row>
    <row r="623" ht="15.75" customHeight="1" spans="2:2">
      <c r="B623" s="4"/>
    </row>
    <row r="624" ht="15.75" customHeight="1" spans="2:2">
      <c r="B624" s="4"/>
    </row>
    <row r="625" ht="15.75" customHeight="1" spans="2:2">
      <c r="B625" s="4"/>
    </row>
    <row r="626" ht="15.75" customHeight="1" spans="2:2">
      <c r="B626" s="4"/>
    </row>
    <row r="627" ht="15.75" customHeight="1" spans="2:2">
      <c r="B627" s="4"/>
    </row>
    <row r="628" ht="15.75" customHeight="1" spans="2:2">
      <c r="B628" s="4"/>
    </row>
    <row r="629" ht="15.75" customHeight="1" spans="2:2">
      <c r="B629" s="4"/>
    </row>
    <row r="630" ht="15.75" customHeight="1" spans="2:2">
      <c r="B630" s="4"/>
    </row>
    <row r="631" ht="15.75" customHeight="1" spans="2:2">
      <c r="B631" s="4"/>
    </row>
    <row r="632" ht="15.75" customHeight="1" spans="2:2">
      <c r="B632" s="4"/>
    </row>
    <row r="633" ht="15.75" customHeight="1" spans="2:2">
      <c r="B633" s="4"/>
    </row>
    <row r="634" ht="15.75" customHeight="1" spans="2:2">
      <c r="B634" s="4"/>
    </row>
    <row r="635" ht="15.75" customHeight="1" spans="2:2">
      <c r="B635" s="4"/>
    </row>
    <row r="636" ht="15.75" customHeight="1" spans="2:2">
      <c r="B636" s="4"/>
    </row>
    <row r="637" ht="15.75" customHeight="1" spans="2:2">
      <c r="B637" s="4"/>
    </row>
    <row r="638" ht="15.75" customHeight="1" spans="2:2">
      <c r="B638" s="4"/>
    </row>
    <row r="639" ht="15.75" customHeight="1" spans="2:2">
      <c r="B639" s="4"/>
    </row>
    <row r="640" ht="15.75" customHeight="1" spans="2:2">
      <c r="B640" s="4"/>
    </row>
    <row r="641" ht="15.75" customHeight="1" spans="2:2">
      <c r="B641" s="4"/>
    </row>
    <row r="642" ht="15.75" customHeight="1" spans="2:2">
      <c r="B642" s="4"/>
    </row>
    <row r="643" ht="15.75" customHeight="1" spans="2:2">
      <c r="B643" s="4"/>
    </row>
    <row r="644" ht="15.75" customHeight="1" spans="2:2">
      <c r="B644" s="4"/>
    </row>
    <row r="645" ht="15.75" customHeight="1" spans="2:2">
      <c r="B645" s="4"/>
    </row>
    <row r="646" ht="15.75" customHeight="1" spans="2:2">
      <c r="B646" s="4"/>
    </row>
    <row r="647" ht="15.75" customHeight="1" spans="2:2">
      <c r="B647" s="4"/>
    </row>
    <row r="648" ht="15.75" customHeight="1" spans="2:2">
      <c r="B648" s="4"/>
    </row>
    <row r="649" ht="15.75" customHeight="1" spans="2:2">
      <c r="B649" s="4"/>
    </row>
    <row r="650" ht="15.75" customHeight="1" spans="2:2">
      <c r="B650" s="4"/>
    </row>
    <row r="651" ht="15.75" customHeight="1" spans="2:2">
      <c r="B651" s="4"/>
    </row>
    <row r="652" ht="15.75" customHeight="1" spans="2:2">
      <c r="B652" s="4"/>
    </row>
    <row r="653" ht="15.75" customHeight="1" spans="2:2">
      <c r="B653" s="4"/>
    </row>
    <row r="654" ht="15.75" customHeight="1" spans="2:2">
      <c r="B654" s="4"/>
    </row>
    <row r="655" ht="15.75" customHeight="1" spans="2:2">
      <c r="B655" s="4"/>
    </row>
    <row r="656" ht="15.75" customHeight="1" spans="2:2">
      <c r="B656" s="4"/>
    </row>
    <row r="657" ht="15.75" customHeight="1" spans="2:2">
      <c r="B657" s="4"/>
    </row>
    <row r="658" ht="15.75" customHeight="1" spans="2:2">
      <c r="B658" s="4"/>
    </row>
    <row r="659" ht="15.75" customHeight="1" spans="2:2">
      <c r="B659" s="4"/>
    </row>
    <row r="660" ht="15.75" customHeight="1" spans="2:2">
      <c r="B660" s="4"/>
    </row>
    <row r="661" ht="15.75" customHeight="1" spans="2:2">
      <c r="B661" s="4"/>
    </row>
    <row r="662" ht="15.75" customHeight="1" spans="2:2">
      <c r="B662" s="4"/>
    </row>
    <row r="663" ht="15.75" customHeight="1" spans="2:2">
      <c r="B663" s="4"/>
    </row>
    <row r="664" ht="15.75" customHeight="1" spans="2:2">
      <c r="B664" s="4"/>
    </row>
    <row r="665" ht="15.75" customHeight="1" spans="2:2">
      <c r="B665" s="4"/>
    </row>
    <row r="666" ht="15.75" customHeight="1" spans="2:2">
      <c r="B666" s="4"/>
    </row>
    <row r="667" ht="15.75" customHeight="1" spans="2:2">
      <c r="B667" s="4"/>
    </row>
    <row r="668" ht="15.75" customHeight="1" spans="2:2">
      <c r="B668" s="4"/>
    </row>
    <row r="669" ht="15.75" customHeight="1" spans="2:2">
      <c r="B669" s="4"/>
    </row>
    <row r="670" ht="15.75" customHeight="1" spans="2:2">
      <c r="B670" s="4"/>
    </row>
    <row r="671" ht="15.75" customHeight="1" spans="2:2">
      <c r="B671" s="4"/>
    </row>
    <row r="672" ht="15.75" customHeight="1" spans="2:2">
      <c r="B672" s="4"/>
    </row>
    <row r="673" ht="15.75" customHeight="1" spans="2:2">
      <c r="B673" s="4"/>
    </row>
    <row r="674" ht="15.75" customHeight="1" spans="2:2">
      <c r="B674" s="4"/>
    </row>
    <row r="675" ht="15.75" customHeight="1" spans="2:2">
      <c r="B675" s="4"/>
    </row>
    <row r="676" ht="15.75" customHeight="1" spans="2:2">
      <c r="B676" s="4"/>
    </row>
    <row r="677" ht="15.75" customHeight="1" spans="2:2">
      <c r="B677" s="4"/>
    </row>
    <row r="678" ht="15.75" customHeight="1" spans="2:2">
      <c r="B678" s="4"/>
    </row>
    <row r="679" ht="15.75" customHeight="1" spans="2:2">
      <c r="B679" s="4"/>
    </row>
    <row r="680" ht="15.75" customHeight="1" spans="2:2">
      <c r="B680" s="4"/>
    </row>
    <row r="681" ht="15.75" customHeight="1" spans="2:2">
      <c r="B681" s="4"/>
    </row>
    <row r="682" ht="15.75" customHeight="1" spans="2:2">
      <c r="B682" s="4"/>
    </row>
    <row r="683" ht="15.75" customHeight="1" spans="2:2">
      <c r="B683" s="4"/>
    </row>
    <row r="684" ht="15.75" customHeight="1" spans="2:2">
      <c r="B684" s="4"/>
    </row>
    <row r="685" ht="15.75" customHeight="1" spans="2:2">
      <c r="B685" s="4"/>
    </row>
    <row r="686" ht="15.75" customHeight="1" spans="2:2">
      <c r="B686" s="4"/>
    </row>
    <row r="687" ht="15.75" customHeight="1" spans="2:2">
      <c r="B687" s="4"/>
    </row>
    <row r="688" ht="15.75" customHeight="1" spans="2:2">
      <c r="B688" s="4"/>
    </row>
    <row r="689" ht="15.75" customHeight="1" spans="2:2">
      <c r="B689" s="4"/>
    </row>
    <row r="690" ht="15.75" customHeight="1" spans="2:2">
      <c r="B690" s="4"/>
    </row>
    <row r="691" ht="15.75" customHeight="1" spans="2:2">
      <c r="B691" s="4"/>
    </row>
    <row r="692" ht="15.75" customHeight="1" spans="2:2">
      <c r="B692" s="4"/>
    </row>
    <row r="693" ht="15.75" customHeight="1" spans="2:2">
      <c r="B693" s="4"/>
    </row>
    <row r="694" ht="15.75" customHeight="1" spans="2:2">
      <c r="B694" s="4"/>
    </row>
    <row r="695" ht="15.75" customHeight="1" spans="2:2">
      <c r="B695" s="4"/>
    </row>
    <row r="696" ht="15.75" customHeight="1" spans="2:2">
      <c r="B696" s="4"/>
    </row>
    <row r="697" ht="15.75" customHeight="1" spans="2:2">
      <c r="B697" s="4"/>
    </row>
    <row r="698" ht="15.75" customHeight="1" spans="2:2">
      <c r="B698" s="4"/>
    </row>
    <row r="699" ht="15.75" customHeight="1" spans="2:2">
      <c r="B699" s="4"/>
    </row>
    <row r="700" ht="15.75" customHeight="1" spans="2:2">
      <c r="B700" s="4"/>
    </row>
    <row r="701" ht="15.75" customHeight="1" spans="2:2">
      <c r="B701" s="4"/>
    </row>
    <row r="702" ht="15.75" customHeight="1" spans="2:2">
      <c r="B702" s="4"/>
    </row>
    <row r="703" ht="15.75" customHeight="1" spans="2:2">
      <c r="B703" s="4"/>
    </row>
    <row r="704" ht="15.75" customHeight="1" spans="2:2">
      <c r="B704" s="4"/>
    </row>
    <row r="705" ht="15.75" customHeight="1" spans="2:2">
      <c r="B705" s="4"/>
    </row>
    <row r="706" ht="15.75" customHeight="1" spans="2:2">
      <c r="B706" s="4"/>
    </row>
    <row r="707" ht="15.75" customHeight="1" spans="2:2">
      <c r="B707" s="4"/>
    </row>
    <row r="708" ht="15.75" customHeight="1" spans="2:2">
      <c r="B708" s="4"/>
    </row>
    <row r="709" ht="15.75" customHeight="1" spans="2:2">
      <c r="B709" s="4"/>
    </row>
    <row r="710" ht="15.75" customHeight="1" spans="2:2">
      <c r="B710" s="4"/>
    </row>
    <row r="711" ht="15.75" customHeight="1" spans="2:2">
      <c r="B711" s="4"/>
    </row>
    <row r="712" ht="15.75" customHeight="1" spans="2:2">
      <c r="B712" s="4"/>
    </row>
    <row r="713" ht="15.75" customHeight="1" spans="2:2">
      <c r="B713" s="4"/>
    </row>
    <row r="714" ht="15.75" customHeight="1" spans="2:2">
      <c r="B714" s="4"/>
    </row>
    <row r="715" ht="15.75" customHeight="1" spans="2:2">
      <c r="B715" s="4"/>
    </row>
    <row r="716" ht="15.75" customHeight="1" spans="2:2">
      <c r="B716" s="4"/>
    </row>
    <row r="717" ht="15.75" customHeight="1" spans="2:2">
      <c r="B717" s="4"/>
    </row>
    <row r="718" ht="15.75" customHeight="1" spans="2:2">
      <c r="B718" s="4"/>
    </row>
    <row r="719" ht="15.75" customHeight="1" spans="2:2">
      <c r="B719" s="4"/>
    </row>
    <row r="720" ht="15.75" customHeight="1" spans="2:2">
      <c r="B720" s="4"/>
    </row>
    <row r="721" ht="15.75" customHeight="1" spans="2:2">
      <c r="B721" s="4"/>
    </row>
    <row r="722" ht="15.75" customHeight="1" spans="2:2">
      <c r="B722" s="4"/>
    </row>
    <row r="723" ht="15.75" customHeight="1" spans="2:2">
      <c r="B723" s="4"/>
    </row>
    <row r="724" ht="15.75" customHeight="1" spans="2:2">
      <c r="B724" s="4"/>
    </row>
    <row r="725" ht="15.75" customHeight="1" spans="2:2">
      <c r="B725" s="4"/>
    </row>
    <row r="726" ht="15.75" customHeight="1" spans="2:2">
      <c r="B726" s="4"/>
    </row>
    <row r="727" ht="15.75" customHeight="1" spans="2:2">
      <c r="B727" s="4"/>
    </row>
    <row r="728" ht="15.75" customHeight="1" spans="2:2">
      <c r="B728" s="4"/>
    </row>
    <row r="729" ht="15.75" customHeight="1" spans="2:2">
      <c r="B729" s="4"/>
    </row>
    <row r="730" ht="15.75" customHeight="1" spans="2:2">
      <c r="B730" s="4"/>
    </row>
    <row r="731" ht="15.75" customHeight="1" spans="2:2">
      <c r="B731" s="4"/>
    </row>
    <row r="732" ht="15.75" customHeight="1" spans="2:2">
      <c r="B732" s="4"/>
    </row>
    <row r="733" ht="15.75" customHeight="1" spans="2:2">
      <c r="B733" s="4"/>
    </row>
    <row r="734" ht="15.75" customHeight="1" spans="2:2">
      <c r="B734" s="4"/>
    </row>
    <row r="735" ht="15.75" customHeight="1" spans="2:2">
      <c r="B735" s="4"/>
    </row>
    <row r="736" ht="15.75" customHeight="1" spans="2:2">
      <c r="B736" s="4"/>
    </row>
    <row r="737" ht="15.75" customHeight="1" spans="2:2">
      <c r="B737" s="4"/>
    </row>
    <row r="738" ht="15.75" customHeight="1" spans="2:2">
      <c r="B738" s="4"/>
    </row>
    <row r="739" ht="15.75" customHeight="1" spans="2:2">
      <c r="B739" s="4"/>
    </row>
    <row r="740" ht="15.75" customHeight="1" spans="2:2">
      <c r="B740" s="4"/>
    </row>
    <row r="741" ht="15.75" customHeight="1" spans="2:2">
      <c r="B741" s="4"/>
    </row>
    <row r="742" ht="15.75" customHeight="1" spans="2:2">
      <c r="B742" s="4"/>
    </row>
    <row r="743" ht="15.75" customHeight="1" spans="2:2">
      <c r="B743" s="4"/>
    </row>
    <row r="744" ht="15.75" customHeight="1" spans="2:2">
      <c r="B744" s="4"/>
    </row>
    <row r="745" ht="15.75" customHeight="1" spans="2:2">
      <c r="B745" s="4"/>
    </row>
    <row r="746" ht="15.75" customHeight="1" spans="2:2">
      <c r="B746" s="4"/>
    </row>
    <row r="747" ht="15.75" customHeight="1" spans="2:2">
      <c r="B747" s="4"/>
    </row>
    <row r="748" ht="15.75" customHeight="1" spans="2:2">
      <c r="B748" s="4"/>
    </row>
    <row r="749" ht="15.75" customHeight="1" spans="2:2">
      <c r="B749" s="4"/>
    </row>
    <row r="750" ht="15.75" customHeight="1" spans="2:2">
      <c r="B750" s="4"/>
    </row>
    <row r="751" ht="15.75" customHeight="1" spans="2:2">
      <c r="B751" s="4"/>
    </row>
    <row r="752" ht="15.75" customHeight="1" spans="2:2">
      <c r="B752" s="4"/>
    </row>
    <row r="753" ht="15.75" customHeight="1" spans="2:2">
      <c r="B753" s="4"/>
    </row>
    <row r="754" ht="15.75" customHeight="1" spans="2:2">
      <c r="B754" s="4"/>
    </row>
    <row r="755" ht="15.75" customHeight="1" spans="2:2">
      <c r="B755" s="4"/>
    </row>
    <row r="756" ht="15.75" customHeight="1" spans="2:2">
      <c r="B756" s="4"/>
    </row>
    <row r="757" ht="15.75" customHeight="1" spans="2:2">
      <c r="B757" s="4"/>
    </row>
    <row r="758" ht="15.75" customHeight="1" spans="2:2">
      <c r="B758" s="4"/>
    </row>
    <row r="759" ht="15.75" customHeight="1" spans="2:2">
      <c r="B759" s="4"/>
    </row>
    <row r="760" ht="15.75" customHeight="1" spans="2:2">
      <c r="B760" s="4"/>
    </row>
    <row r="761" ht="15.75" customHeight="1" spans="2:2">
      <c r="B761" s="4"/>
    </row>
    <row r="762" ht="15.75" customHeight="1" spans="2:2">
      <c r="B762" s="4"/>
    </row>
    <row r="763" ht="15.75" customHeight="1" spans="2:2">
      <c r="B763" s="4"/>
    </row>
    <row r="764" ht="15.75" customHeight="1" spans="2:2">
      <c r="B764" s="4"/>
    </row>
    <row r="765" ht="15.75" customHeight="1" spans="2:2">
      <c r="B765" s="4"/>
    </row>
    <row r="766" ht="15.75" customHeight="1" spans="2:2">
      <c r="B766" s="4"/>
    </row>
    <row r="767" ht="15.75" customHeight="1" spans="2:2">
      <c r="B767" s="4"/>
    </row>
    <row r="768" ht="15.75" customHeight="1" spans="2:2">
      <c r="B768" s="4"/>
    </row>
    <row r="769" ht="15.75" customHeight="1" spans="2:2">
      <c r="B769" s="4"/>
    </row>
    <row r="770" ht="15.75" customHeight="1" spans="2:2">
      <c r="B770" s="4"/>
    </row>
    <row r="771" ht="15.75" customHeight="1" spans="2:2">
      <c r="B771" s="4"/>
    </row>
    <row r="772" ht="15.75" customHeight="1" spans="2:2">
      <c r="B772" s="4"/>
    </row>
    <row r="773" ht="15.75" customHeight="1" spans="2:2">
      <c r="B773" s="4"/>
    </row>
    <row r="774" ht="15.75" customHeight="1" spans="2:2">
      <c r="B774" s="4"/>
    </row>
    <row r="775" ht="15.75" customHeight="1" spans="2:2">
      <c r="B775" s="4"/>
    </row>
    <row r="776" ht="15.75" customHeight="1" spans="2:2">
      <c r="B776" s="4"/>
    </row>
    <row r="777" ht="15.75" customHeight="1" spans="2:2">
      <c r="B777" s="4"/>
    </row>
    <row r="778" ht="15.75" customHeight="1" spans="2:2">
      <c r="B778" s="4"/>
    </row>
    <row r="779" ht="15.75" customHeight="1" spans="2:2">
      <c r="B779" s="4"/>
    </row>
    <row r="780" ht="15.75" customHeight="1" spans="2:2">
      <c r="B780" s="4"/>
    </row>
    <row r="781" ht="15.75" customHeight="1" spans="2:2">
      <c r="B781" s="4"/>
    </row>
    <row r="782" ht="15.75" customHeight="1" spans="2:2">
      <c r="B782" s="4"/>
    </row>
    <row r="783" ht="15.75" customHeight="1" spans="2:2">
      <c r="B783" s="4"/>
    </row>
    <row r="784" ht="15.75" customHeight="1" spans="2:2">
      <c r="B784" s="4"/>
    </row>
    <row r="785" ht="15.75" customHeight="1" spans="2:2">
      <c r="B785" s="4"/>
    </row>
    <row r="786" ht="15.75" customHeight="1" spans="2:2">
      <c r="B786" s="4"/>
    </row>
    <row r="787" ht="15.75" customHeight="1" spans="2:2">
      <c r="B787" s="4"/>
    </row>
    <row r="788" ht="15.75" customHeight="1" spans="2:2">
      <c r="B788" s="4"/>
    </row>
    <row r="789" ht="15.75" customHeight="1" spans="2:2">
      <c r="B789" s="4"/>
    </row>
    <row r="790" ht="15.75" customHeight="1" spans="2:2">
      <c r="B790" s="4"/>
    </row>
    <row r="791" ht="15.75" customHeight="1" spans="2:2">
      <c r="B791" s="4"/>
    </row>
    <row r="792" ht="15.75" customHeight="1" spans="2:2">
      <c r="B792" s="4"/>
    </row>
    <row r="793" ht="15.75" customHeight="1" spans="2:2">
      <c r="B793" s="4"/>
    </row>
    <row r="794" ht="15.75" customHeight="1" spans="2:2">
      <c r="B794" s="4"/>
    </row>
    <row r="795" ht="15.75" customHeight="1" spans="2:2">
      <c r="B795" s="4"/>
    </row>
    <row r="796" ht="15.75" customHeight="1" spans="2:2">
      <c r="B796" s="4"/>
    </row>
    <row r="797" ht="15.75" customHeight="1" spans="2:2">
      <c r="B797" s="4"/>
    </row>
    <row r="798" ht="15.75" customHeight="1" spans="2:2">
      <c r="B798" s="4"/>
    </row>
    <row r="799" ht="15.75" customHeight="1" spans="2:2">
      <c r="B799" s="4"/>
    </row>
    <row r="800" ht="15.75" customHeight="1" spans="2:2">
      <c r="B800" s="4"/>
    </row>
    <row r="801" ht="15.75" customHeight="1" spans="2:2">
      <c r="B801" s="4"/>
    </row>
    <row r="802" ht="15.75" customHeight="1" spans="2:2">
      <c r="B802" s="4"/>
    </row>
    <row r="803" ht="15.75" customHeight="1" spans="2:2">
      <c r="B803" s="4"/>
    </row>
    <row r="804" ht="15.75" customHeight="1" spans="2:2">
      <c r="B804" s="4"/>
    </row>
    <row r="805" ht="15.75" customHeight="1" spans="2:2">
      <c r="B805" s="4"/>
    </row>
    <row r="806" ht="15.75" customHeight="1" spans="2:2">
      <c r="B806" s="4"/>
    </row>
    <row r="807" ht="15.75" customHeight="1" spans="2:2">
      <c r="B807" s="4"/>
    </row>
    <row r="808" ht="15.75" customHeight="1" spans="2:2">
      <c r="B808" s="4"/>
    </row>
    <row r="809" ht="15.75" customHeight="1" spans="2:2">
      <c r="B809" s="4"/>
    </row>
    <row r="810" ht="15.75" customHeight="1" spans="2:2">
      <c r="B810" s="4"/>
    </row>
    <row r="811" ht="15.75" customHeight="1" spans="2:2">
      <c r="B811" s="4"/>
    </row>
    <row r="812" ht="15.75" customHeight="1" spans="2:2">
      <c r="B812" s="4"/>
    </row>
    <row r="813" ht="15.75" customHeight="1" spans="2:2">
      <c r="B813" s="4"/>
    </row>
    <row r="814" ht="15.75" customHeight="1" spans="2:2">
      <c r="B814" s="4"/>
    </row>
    <row r="815" ht="15.75" customHeight="1" spans="2:2">
      <c r="B815" s="4"/>
    </row>
    <row r="816" ht="15.75" customHeight="1" spans="2:2">
      <c r="B816" s="4"/>
    </row>
    <row r="817" ht="15.75" customHeight="1" spans="2:2">
      <c r="B817" s="4"/>
    </row>
    <row r="818" ht="15.75" customHeight="1" spans="2:2">
      <c r="B818" s="4"/>
    </row>
    <row r="819" ht="15.75" customHeight="1" spans="2:2">
      <c r="B819" s="4"/>
    </row>
    <row r="820" ht="15.75" customHeight="1" spans="2:2">
      <c r="B820" s="4"/>
    </row>
    <row r="821" ht="15.75" customHeight="1" spans="2:2">
      <c r="B821" s="4"/>
    </row>
    <row r="822" ht="15.75" customHeight="1" spans="2:2">
      <c r="B822" s="4"/>
    </row>
    <row r="823" ht="15.75" customHeight="1" spans="2:2">
      <c r="B823" s="4"/>
    </row>
    <row r="824" ht="15.75" customHeight="1" spans="2:2">
      <c r="B824" s="4"/>
    </row>
    <row r="825" ht="15.75" customHeight="1" spans="2:2">
      <c r="B825" s="4"/>
    </row>
    <row r="826" ht="15.75" customHeight="1" spans="2:2">
      <c r="B826" s="4"/>
    </row>
    <row r="827" ht="15.75" customHeight="1" spans="2:2">
      <c r="B827" s="4"/>
    </row>
    <row r="828" ht="15.75" customHeight="1" spans="2:2">
      <c r="B828" s="4"/>
    </row>
    <row r="829" ht="15.75" customHeight="1" spans="2:2">
      <c r="B829" s="4"/>
    </row>
    <row r="830" ht="15.75" customHeight="1" spans="2:2">
      <c r="B830" s="4"/>
    </row>
    <row r="831" ht="15.75" customHeight="1" spans="2:2">
      <c r="B831" s="4"/>
    </row>
    <row r="832" ht="15.75" customHeight="1" spans="2:2">
      <c r="B832" s="4"/>
    </row>
    <row r="833" ht="15.75" customHeight="1" spans="2:2">
      <c r="B833" s="4"/>
    </row>
    <row r="834" ht="15.75" customHeight="1" spans="2:2">
      <c r="B834" s="4"/>
    </row>
    <row r="835" ht="15.75" customHeight="1" spans="2:2">
      <c r="B835" s="4"/>
    </row>
    <row r="836" ht="15.75" customHeight="1" spans="2:2">
      <c r="B836" s="4"/>
    </row>
    <row r="837" ht="15.75" customHeight="1" spans="2:2">
      <c r="B837" s="4"/>
    </row>
    <row r="838" ht="15.75" customHeight="1" spans="2:2">
      <c r="B838" s="4"/>
    </row>
    <row r="839" ht="15.75" customHeight="1" spans="2:2">
      <c r="B839" s="4"/>
    </row>
    <row r="840" ht="15.75" customHeight="1" spans="2:2">
      <c r="B840" s="4"/>
    </row>
    <row r="841" ht="15.75" customHeight="1" spans="2:2">
      <c r="B841" s="4"/>
    </row>
    <row r="842" ht="15.75" customHeight="1" spans="2:2">
      <c r="B842" s="4"/>
    </row>
    <row r="843" ht="15.75" customHeight="1" spans="2:2">
      <c r="B843" s="4"/>
    </row>
    <row r="844" ht="15.75" customHeight="1" spans="2:2">
      <c r="B844" s="4"/>
    </row>
    <row r="845" ht="15.75" customHeight="1" spans="2:2">
      <c r="B845" s="4"/>
    </row>
    <row r="846" ht="15.75" customHeight="1" spans="2:2">
      <c r="B846" s="4"/>
    </row>
    <row r="847" ht="15.75" customHeight="1" spans="2:2">
      <c r="B847" s="4"/>
    </row>
    <row r="848" ht="15.75" customHeight="1" spans="2:2">
      <c r="B848" s="4"/>
    </row>
    <row r="849" ht="15.75" customHeight="1" spans="2:2">
      <c r="B849" s="4"/>
    </row>
    <row r="850" ht="15.75" customHeight="1" spans="2:2">
      <c r="B850" s="4"/>
    </row>
    <row r="851" ht="15.75" customHeight="1" spans="2:2">
      <c r="B851" s="4"/>
    </row>
    <row r="852" ht="15.75" customHeight="1" spans="2:2">
      <c r="B852" s="4"/>
    </row>
    <row r="853" ht="15.75" customHeight="1" spans="2:2">
      <c r="B853" s="4"/>
    </row>
    <row r="854" ht="15.75" customHeight="1" spans="2:2">
      <c r="B854" s="4"/>
    </row>
    <row r="855" ht="15.75" customHeight="1" spans="2:2">
      <c r="B855" s="4"/>
    </row>
    <row r="856" ht="15.75" customHeight="1" spans="2:2">
      <c r="B856" s="4"/>
    </row>
    <row r="857" ht="15.75" customHeight="1" spans="2:2">
      <c r="B857" s="4"/>
    </row>
    <row r="858" ht="15.75" customHeight="1" spans="2:2">
      <c r="B858" s="4"/>
    </row>
    <row r="859" ht="15.75" customHeight="1" spans="2:2">
      <c r="B859" s="4"/>
    </row>
    <row r="860" ht="15.75" customHeight="1" spans="2:2">
      <c r="B860" s="4"/>
    </row>
    <row r="861" ht="15.75" customHeight="1" spans="2:2">
      <c r="B861" s="4"/>
    </row>
    <row r="862" ht="15.75" customHeight="1" spans="2:2">
      <c r="B862" s="4"/>
    </row>
    <row r="863" ht="15.75" customHeight="1" spans="2:2">
      <c r="B863" s="4"/>
    </row>
    <row r="864" ht="15.75" customHeight="1" spans="2:2">
      <c r="B864" s="4"/>
    </row>
    <row r="865" ht="15.75" customHeight="1" spans="2:2">
      <c r="B865" s="4"/>
    </row>
    <row r="866" ht="15.75" customHeight="1" spans="2:2">
      <c r="B866" s="4"/>
    </row>
    <row r="867" ht="15.75" customHeight="1" spans="2:2">
      <c r="B867" s="4"/>
    </row>
    <row r="868" ht="15.75" customHeight="1" spans="2:2">
      <c r="B868" s="4"/>
    </row>
    <row r="869" ht="15.75" customHeight="1" spans="2:2">
      <c r="B869" s="4"/>
    </row>
    <row r="870" ht="15.75" customHeight="1" spans="2:2">
      <c r="B870" s="4"/>
    </row>
    <row r="871" ht="15.75" customHeight="1" spans="2:2">
      <c r="B871" s="4"/>
    </row>
    <row r="872" ht="15.75" customHeight="1" spans="2:2">
      <c r="B872" s="4"/>
    </row>
    <row r="873" ht="15.75" customHeight="1" spans="2:2">
      <c r="B873" s="4"/>
    </row>
    <row r="874" ht="15.75" customHeight="1" spans="2:2">
      <c r="B874" s="4"/>
    </row>
    <row r="875" ht="15.75" customHeight="1" spans="2:2">
      <c r="B875" s="4"/>
    </row>
    <row r="876" ht="15.75" customHeight="1" spans="2:2">
      <c r="B876" s="4"/>
    </row>
    <row r="877" ht="15.75" customHeight="1" spans="2:2">
      <c r="B877" s="4"/>
    </row>
    <row r="878" ht="15.75" customHeight="1" spans="2:2">
      <c r="B878" s="4"/>
    </row>
    <row r="879" ht="15.75" customHeight="1" spans="2:2">
      <c r="B879" s="4"/>
    </row>
    <row r="880" ht="15.75" customHeight="1" spans="2:2">
      <c r="B880" s="4"/>
    </row>
    <row r="881" ht="15.75" customHeight="1" spans="2:2">
      <c r="B881" s="4"/>
    </row>
    <row r="882" ht="15.75" customHeight="1" spans="2:2">
      <c r="B882" s="4"/>
    </row>
    <row r="883" ht="15.75" customHeight="1" spans="2:2">
      <c r="B883" s="4"/>
    </row>
    <row r="884" ht="15.75" customHeight="1" spans="2:2">
      <c r="B884" s="4"/>
    </row>
    <row r="885" ht="15.75" customHeight="1" spans="2:2">
      <c r="B885" s="4"/>
    </row>
    <row r="886" ht="15.75" customHeight="1" spans="2:2">
      <c r="B886" s="4"/>
    </row>
    <row r="887" ht="15.75" customHeight="1" spans="2:2">
      <c r="B887" s="4"/>
    </row>
    <row r="888" ht="15.75" customHeight="1" spans="2:2">
      <c r="B888" s="4"/>
    </row>
    <row r="889" ht="15.75" customHeight="1" spans="2:2">
      <c r="B889" s="4"/>
    </row>
    <row r="890" ht="15.75" customHeight="1" spans="2:2">
      <c r="B890" s="4"/>
    </row>
    <row r="891" ht="15.75" customHeight="1" spans="2:2">
      <c r="B891" s="4"/>
    </row>
    <row r="892" ht="15.75" customHeight="1" spans="2:2">
      <c r="B892" s="4"/>
    </row>
    <row r="893" ht="15.75" customHeight="1" spans="2:2">
      <c r="B893" s="4"/>
    </row>
    <row r="894" ht="15.75" customHeight="1" spans="2:2">
      <c r="B894" s="4"/>
    </row>
    <row r="895" ht="15.75" customHeight="1" spans="2:2">
      <c r="B895" s="4"/>
    </row>
    <row r="896" ht="15.75" customHeight="1" spans="2:2">
      <c r="B896" s="4"/>
    </row>
    <row r="897" ht="15.75" customHeight="1" spans="2:2">
      <c r="B897" s="4"/>
    </row>
    <row r="898" ht="15.75" customHeight="1" spans="2:2">
      <c r="B898" s="4"/>
    </row>
    <row r="899" ht="15.75" customHeight="1" spans="2:2">
      <c r="B899" s="4"/>
    </row>
    <row r="900" ht="15.75" customHeight="1" spans="2:2">
      <c r="B900" s="4"/>
    </row>
    <row r="901" ht="15.75" customHeight="1" spans="2:2">
      <c r="B901" s="4"/>
    </row>
    <row r="902" ht="15.75" customHeight="1" spans="2:2">
      <c r="B902" s="4"/>
    </row>
    <row r="903" ht="15.75" customHeight="1" spans="2:2">
      <c r="B903" s="4"/>
    </row>
    <row r="904" ht="15.75" customHeight="1" spans="2:2">
      <c r="B904" s="4"/>
    </row>
    <row r="905" ht="15.75" customHeight="1" spans="2:2">
      <c r="B905" s="4"/>
    </row>
    <row r="906" ht="15.75" customHeight="1" spans="2:2">
      <c r="B906" s="4"/>
    </row>
    <row r="907" ht="15.75" customHeight="1" spans="2:2">
      <c r="B907" s="4"/>
    </row>
    <row r="908" ht="15.75" customHeight="1" spans="2:2">
      <c r="B908" s="4"/>
    </row>
    <row r="909" ht="15.75" customHeight="1" spans="2:2">
      <c r="B909" s="4"/>
    </row>
    <row r="910" ht="15.75" customHeight="1" spans="2:2">
      <c r="B910" s="4"/>
    </row>
    <row r="911" ht="15.75" customHeight="1" spans="2:2">
      <c r="B911" s="4"/>
    </row>
    <row r="912" ht="15.75" customHeight="1" spans="2:2">
      <c r="B912" s="4"/>
    </row>
    <row r="913" ht="15.75" customHeight="1" spans="2:2">
      <c r="B913" s="4"/>
    </row>
    <row r="914" ht="15.75" customHeight="1" spans="2:2">
      <c r="B914" s="4"/>
    </row>
    <row r="915" ht="15.75" customHeight="1" spans="2:2">
      <c r="B915" s="4"/>
    </row>
    <row r="916" ht="15.75" customHeight="1" spans="2:2">
      <c r="B916" s="4"/>
    </row>
    <row r="917" ht="15.75" customHeight="1" spans="2:2">
      <c r="B917" s="4"/>
    </row>
    <row r="918" ht="15.75" customHeight="1" spans="2:2">
      <c r="B918" s="4"/>
    </row>
    <row r="919" ht="15.75" customHeight="1" spans="2:2">
      <c r="B919" s="4"/>
    </row>
    <row r="920" ht="15.75" customHeight="1" spans="2:2">
      <c r="B920" s="4"/>
    </row>
    <row r="921" ht="15.75" customHeight="1" spans="2:2">
      <c r="B921" s="4"/>
    </row>
    <row r="922" ht="15.75" customHeight="1" spans="2:2">
      <c r="B922" s="4"/>
    </row>
    <row r="923" ht="15.75" customHeight="1" spans="2:2">
      <c r="B923" s="4"/>
    </row>
    <row r="924" ht="15.75" customHeight="1" spans="2:2">
      <c r="B924" s="4"/>
    </row>
    <row r="925" ht="15.75" customHeight="1" spans="2:2">
      <c r="B925" s="4"/>
    </row>
    <row r="926" ht="15.75" customHeight="1" spans="2:2">
      <c r="B926" s="4"/>
    </row>
    <row r="927" ht="15.75" customHeight="1" spans="2:2">
      <c r="B927" s="4"/>
    </row>
    <row r="928" ht="15.75" customHeight="1" spans="2:2">
      <c r="B928" s="4"/>
    </row>
    <row r="929" ht="15.75" customHeight="1" spans="2:2">
      <c r="B929" s="4"/>
    </row>
    <row r="930" ht="15.75" customHeight="1" spans="2:2">
      <c r="B930" s="4"/>
    </row>
    <row r="931" ht="15.75" customHeight="1" spans="2:2">
      <c r="B931" s="4"/>
    </row>
    <row r="932" ht="15.75" customHeight="1" spans="2:2">
      <c r="B932" s="4"/>
    </row>
    <row r="933" ht="15.75" customHeight="1" spans="2:2">
      <c r="B933" s="4"/>
    </row>
    <row r="934" ht="15.75" customHeight="1" spans="2:2">
      <c r="B934" s="4"/>
    </row>
    <row r="935" ht="15.75" customHeight="1" spans="2:2">
      <c r="B935" s="4"/>
    </row>
    <row r="936" ht="15.75" customHeight="1" spans="2:2">
      <c r="B936" s="4"/>
    </row>
    <row r="937" ht="15.75" customHeight="1" spans="2:2">
      <c r="B937" s="4"/>
    </row>
    <row r="938" ht="15.75" customHeight="1" spans="2:2">
      <c r="B938" s="4"/>
    </row>
    <row r="939" ht="15.75" customHeight="1" spans="2:2">
      <c r="B939" s="4"/>
    </row>
    <row r="940" ht="15.75" customHeight="1" spans="2:2">
      <c r="B940" s="4"/>
    </row>
    <row r="941" ht="15.75" customHeight="1" spans="2:2">
      <c r="B941" s="4"/>
    </row>
    <row r="942" ht="15.75" customHeight="1" spans="2:2">
      <c r="B942" s="4"/>
    </row>
    <row r="943" ht="15.75" customHeight="1" spans="2:2">
      <c r="B943" s="4"/>
    </row>
    <row r="944" ht="15.75" customHeight="1" spans="2:2">
      <c r="B944" s="4"/>
    </row>
    <row r="945" ht="15.75" customHeight="1" spans="2:2">
      <c r="B945" s="4"/>
    </row>
    <row r="946" ht="15.75" customHeight="1" spans="2:2">
      <c r="B946" s="4"/>
    </row>
    <row r="947" ht="15.75" customHeight="1" spans="2:2">
      <c r="B947" s="4"/>
    </row>
    <row r="948" ht="15.75" customHeight="1" spans="2:2">
      <c r="B948" s="4"/>
    </row>
    <row r="949" ht="15.75" customHeight="1" spans="2:2">
      <c r="B949" s="4"/>
    </row>
    <row r="950" ht="15.75" customHeight="1" spans="2:2">
      <c r="B950" s="4"/>
    </row>
    <row r="951" ht="15.75" customHeight="1" spans="2:2">
      <c r="B951" s="4"/>
    </row>
    <row r="952" ht="15.75" customHeight="1" spans="2:2">
      <c r="B952" s="4"/>
    </row>
    <row r="953" ht="15.75" customHeight="1" spans="2:2">
      <c r="B953" s="4"/>
    </row>
    <row r="954" ht="15.75" customHeight="1" spans="2:2">
      <c r="B954" s="4"/>
    </row>
    <row r="955" ht="15.75" customHeight="1" spans="2:2">
      <c r="B955" s="4"/>
    </row>
    <row r="956" ht="15.75" customHeight="1" spans="2:2">
      <c r="B956" s="4"/>
    </row>
    <row r="957" ht="15.75" customHeight="1" spans="2:2">
      <c r="B957" s="4"/>
    </row>
    <row r="958" ht="15.75" customHeight="1" spans="2:2">
      <c r="B958" s="4"/>
    </row>
    <row r="959" ht="15.75" customHeight="1" spans="2:2">
      <c r="B959" s="4"/>
    </row>
    <row r="960" ht="15.75" customHeight="1" spans="2:2">
      <c r="B960" s="4"/>
    </row>
    <row r="961" ht="15.75" customHeight="1" spans="2:2">
      <c r="B961" s="4"/>
    </row>
    <row r="962" ht="15.75" customHeight="1" spans="2:2">
      <c r="B962" s="4"/>
    </row>
    <row r="963" ht="15.75" customHeight="1" spans="2:2">
      <c r="B963" s="4"/>
    </row>
    <row r="964" ht="15.75" customHeight="1" spans="2:2">
      <c r="B964" s="4"/>
    </row>
    <row r="965" ht="15.75" customHeight="1" spans="2:2">
      <c r="B965" s="4"/>
    </row>
    <row r="966" ht="15.75" customHeight="1" spans="2:2">
      <c r="B966" s="4"/>
    </row>
    <row r="967" ht="15.75" customHeight="1" spans="2:2">
      <c r="B967" s="4"/>
    </row>
    <row r="968" ht="15.75" customHeight="1" spans="2:2">
      <c r="B968" s="4"/>
    </row>
    <row r="969" ht="15.75" customHeight="1" spans="2:2">
      <c r="B969" s="4"/>
    </row>
    <row r="970" ht="15.75" customHeight="1" spans="2:2">
      <c r="B970" s="4"/>
    </row>
    <row r="971" ht="15.75" customHeight="1" spans="2:2">
      <c r="B971" s="4"/>
    </row>
    <row r="972" ht="15.75" customHeight="1" spans="2:2">
      <c r="B972" s="4"/>
    </row>
    <row r="973" ht="15.75" customHeight="1" spans="2:2">
      <c r="B973" s="4"/>
    </row>
    <row r="974" ht="15.75" customHeight="1" spans="2:2">
      <c r="B974" s="4"/>
    </row>
    <row r="975" ht="15.75" customHeight="1" spans="2:2">
      <c r="B975" s="4"/>
    </row>
    <row r="976" ht="15.75" customHeight="1" spans="2:2">
      <c r="B976" s="4"/>
    </row>
    <row r="977" ht="15.75" customHeight="1" spans="2:2">
      <c r="B977" s="4"/>
    </row>
    <row r="978" ht="15.75" customHeight="1" spans="2:2">
      <c r="B978" s="4"/>
    </row>
    <row r="979" ht="15.75" customHeight="1" spans="2:2">
      <c r="B979" s="4"/>
    </row>
    <row r="980" ht="15.75" customHeight="1" spans="2:2">
      <c r="B980" s="4"/>
    </row>
    <row r="981" ht="15.75" customHeight="1" spans="2:2">
      <c r="B981" s="4"/>
    </row>
    <row r="982" ht="15.75" customHeight="1" spans="2:2">
      <c r="B982" s="4"/>
    </row>
    <row r="983" ht="15.75" customHeight="1" spans="2:2">
      <c r="B983" s="4"/>
    </row>
    <row r="984" ht="15.75" customHeight="1" spans="2:2">
      <c r="B984" s="4"/>
    </row>
    <row r="985" ht="15.75" customHeight="1" spans="2:2">
      <c r="B985" s="4"/>
    </row>
    <row r="986" ht="15.75" customHeight="1" spans="2:2">
      <c r="B986" s="4"/>
    </row>
    <row r="987" ht="15.75" customHeight="1" spans="2:2">
      <c r="B987" s="4"/>
    </row>
    <row r="988" ht="15.75" customHeight="1" spans="2:2">
      <c r="B988" s="4"/>
    </row>
    <row r="989" ht="15.75" customHeight="1" spans="2:2">
      <c r="B989" s="4"/>
    </row>
    <row r="990" ht="15.75" customHeight="1" spans="2:2">
      <c r="B990" s="4"/>
    </row>
    <row r="991" ht="15.75" customHeight="1" spans="2:2">
      <c r="B991" s="4"/>
    </row>
    <row r="992" ht="15.75" customHeight="1" spans="2:2">
      <c r="B992" s="4"/>
    </row>
    <row r="993" ht="15.75" customHeight="1" spans="2:2">
      <c r="B993" s="4"/>
    </row>
    <row r="994" ht="15.75" customHeight="1" spans="2:2">
      <c r="B994" s="4"/>
    </row>
    <row r="995" ht="15.75" customHeight="1" spans="2:2">
      <c r="B995" s="4"/>
    </row>
    <row r="996" ht="15.75" customHeight="1" spans="2:2">
      <c r="B996" s="4"/>
    </row>
    <row r="997" ht="15.75" customHeight="1" spans="2:2">
      <c r="B997" s="4"/>
    </row>
    <row r="998" ht="15.75" customHeight="1" spans="2:2">
      <c r="B998" s="4"/>
    </row>
    <row r="999" ht="15.75" customHeight="1" spans="2:2">
      <c r="B999" s="4"/>
    </row>
    <row r="1000" ht="15.75" customHeight="1" spans="2:2">
      <c r="B1000" s="4"/>
    </row>
  </sheetData>
  <mergeCells count="2">
    <mergeCell ref="C3:C9"/>
    <mergeCell ref="C11:C13"/>
  </mergeCells>
  <pageMargins left="0" right="0" top="0" bottom="0" header="0.511811023622047" footer="0.511811023622047"/>
  <pageSetup paperSize="1"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F8"/>
  <sheetViews>
    <sheetView workbookViewId="0">
      <selection activeCell="A1" sqref="A1"/>
    </sheetView>
  </sheetViews>
  <sheetFormatPr defaultColWidth="9" defaultRowHeight="12.75" outlineLevelRow="7" outlineLevelCol="5"/>
  <sheetData>
    <row r="1" spans="3:6">
      <c r="C1" t="s">
        <v>304</v>
      </c>
      <c r="E1" t="s">
        <v>287</v>
      </c>
      <c r="F1" t="s">
        <v>305</v>
      </c>
    </row>
    <row r="2" spans="3:6">
      <c r="C2" t="s">
        <v>22</v>
      </c>
      <c r="E2" t="s">
        <v>46</v>
      </c>
      <c r="F2" t="s">
        <v>47</v>
      </c>
    </row>
    <row r="3" spans="3:6">
      <c r="C3" t="s">
        <v>279</v>
      </c>
      <c r="E3" t="s">
        <v>63</v>
      </c>
      <c r="F3" t="s">
        <v>68</v>
      </c>
    </row>
    <row r="4" spans="3:6">
      <c r="C4" t="s">
        <v>18</v>
      </c>
      <c r="E4" t="s">
        <v>74</v>
      </c>
      <c r="F4" t="s">
        <v>306</v>
      </c>
    </row>
    <row r="5" spans="3:6">
      <c r="C5" t="s">
        <v>19</v>
      </c>
    </row>
    <row r="6" spans="3:6">
      <c r="C6" t="s">
        <v>21</v>
      </c>
    </row>
    <row r="7" spans="3:6">
      <c r="C7" t="s">
        <v>284</v>
      </c>
    </row>
    <row r="8" spans="3:6">
      <c r="C8"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Cover</vt:lpstr>
      <vt:lpstr>Danh sách đề (Đề thầy cô giao)</vt:lpstr>
      <vt:lpstr>Summary TCs</vt:lpstr>
      <vt:lpstr>Glossary</vt:lpstr>
      <vt:lpst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cp:revision>3</cp:revision>
  <dcterms:created xsi:type="dcterms:W3CDTF">2024-11-15T03:27:00Z</dcterms:created>
  <dcterms:modified xsi:type="dcterms:W3CDTF">2026-10-28T17:51:27Z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81F686466484E11F347BE16A14B296E3_42</vt:lpwstr>
  </property>
  <property fmtid="{D5CDD505-2E9C-101B-9397-08002B2CF9AE}" pid="3" name="KSOProductBuildVer">
    <vt:lpwstr>1033-12.1.2.25882</vt:lpwstr>
  </property>
  <property fmtid="{D5CDD505-2E9C-101B-9397-08002B2CF9AE}" pid="4" name="CalculationRule">
    <vt:i4>0</vt:i4>
  </property>
</Properties>
</file>