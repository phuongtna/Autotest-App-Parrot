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Ôn thi - Kho đề Parrot" sheetId="2" state="visible" r:id="rId2"/>
    <sheet xmlns:r="http://schemas.openxmlformats.org/officeDocument/2006/relationships" name="Summary TCs" sheetId="3" state="visible" r:id="rId3"/>
    <sheet xmlns:r="http://schemas.openxmlformats.org/officeDocument/2006/relationships" name="Glossary" sheetId="4" state="hidden" r:id="rId4"/>
    <sheet xmlns:r="http://schemas.openxmlformats.org/officeDocument/2006/relationships" name=" Data" sheetId="5" state="hidden" r:id="rId5"/>
  </sheets>
  <definedNames>
    <definedName name="Google_Sheet_Link_364246022" hidden="1" function="0" vbProcedure="0">'Summary TCs'!$A$5</definedName>
  </definedNames>
  <calcPr calcId="124519" fullCalcOnLoad="1" refMode="A1" iterate="0" iterateCount="100" iterateDelta="0.0001"/>
</workbook>
</file>

<file path=xl/styles.xml><?xml version="1.0" encoding="utf-8"?>
<styleSheet xmlns="http://schemas.openxmlformats.org/spreadsheetml/2006/main">
  <numFmts count="8">
    <numFmt numFmtId="164" formatCode="0.0%"/>
    <numFmt numFmtId="165" formatCode="dd/mm/yyyy"/>
    <numFmt numFmtId="166" formatCode="#,##0.0\ [$đ-42A]"/>
    <numFmt numFmtId="167" formatCode="0.0"/>
    <numFmt numFmtId="168" formatCode="dd\-mmm\-yy"/>
    <numFmt numFmtId="169" formatCode="[$-409]d\-mmm\-yy"/>
    <numFmt numFmtId="170" formatCode="mmm/dd/yyyy"/>
    <numFmt numFmtId="171" formatCode="d/m/yyyy"/>
  </numFmts>
  <fonts count="74">
    <font>
      <name val="Arial"/>
      <charset val="1"/>
      <family val="0"/>
      <color rgb="FF000000"/>
      <sz val="10"/>
    </font>
    <font>
      <name val="Arial"/>
      <family val="0"/>
      <sz val="10"/>
    </font>
    <font>
      <name val="Arial"/>
      <family val="0"/>
      <sz val="10"/>
    </font>
    <font>
      <name val="Arial"/>
      <family val="0"/>
      <sz val="10"/>
    </font>
    <font>
      <name val="Times New Roman"/>
      <charset val="1"/>
      <family val="0"/>
      <color theme="1"/>
      <sz val="10"/>
    </font>
    <font>
      <name val="Times New Roman"/>
      <charset val="1"/>
      <family val="0"/>
      <b val="1"/>
      <color theme="1"/>
      <sz val="23"/>
    </font>
    <font>
      <name val="Times New Roman"/>
      <charset val="1"/>
      <family val="0"/>
      <b val="1"/>
      <color theme="1"/>
      <sz val="19"/>
    </font>
    <font>
      <name val="Times New Roman"/>
      <charset val="1"/>
      <family val="0"/>
      <color theme="1"/>
      <sz val="19"/>
    </font>
    <font>
      <name val="Times New Roman"/>
      <charset val="1"/>
      <family val="0"/>
      <b val="1"/>
      <color theme="1"/>
      <sz val="10"/>
    </font>
    <font>
      <name val="Times New Roman"/>
      <charset val="1"/>
      <family val="0"/>
      <b val="1"/>
      <color rgb="FFFFFFFF"/>
      <sz val="10"/>
    </font>
    <font>
      <name val="Times New Roman"/>
      <charset val="1"/>
      <family val="0"/>
      <b val="1"/>
      <color rgb="FFFFFFFF"/>
      <sz val="9"/>
    </font>
    <font>
      <name val="Times New Roman"/>
      <charset val="1"/>
      <family val="0"/>
      <color rgb="FFFFFFFF"/>
      <sz val="10"/>
    </font>
    <font>
      <name val="Times New Roman"/>
      <charset val="1"/>
      <family val="0"/>
      <color rgb="FF000000"/>
      <sz val="10"/>
    </font>
    <font>
      <name val="Times New Roman"/>
      <charset val="1"/>
      <family val="0"/>
      <b val="1"/>
      <color rgb="FF000000"/>
      <sz val="10"/>
    </font>
    <font>
      <name val="Times New Roman"/>
      <charset val="1"/>
      <family val="0"/>
      <b val="1"/>
      <color rgb="FF1A3438"/>
      <sz val="11"/>
    </font>
    <font>
      <name val="Times New Roman"/>
      <charset val="1"/>
      <family val="0"/>
      <color theme="1"/>
      <sz val="11"/>
    </font>
    <font>
      <name val="Times New Roman"/>
      <charset val="1"/>
      <family val="0"/>
      <color rgb="FF0000FF"/>
      <sz val="11"/>
      <u val="single"/>
    </font>
    <font>
      <name val="Times New Roman"/>
      <charset val="1"/>
      <family val="0"/>
      <color rgb="FF000000"/>
      <sz val="11"/>
    </font>
    <font>
      <name val="Times New Roman"/>
      <charset val="1"/>
      <family val="0"/>
      <b val="1"/>
      <color theme="0"/>
      <sz val="10"/>
    </font>
    <font>
      <name val="Times New Roman"/>
      <charset val="1"/>
      <family val="0"/>
      <color theme="0"/>
      <sz val="10"/>
    </font>
    <font>
      <name val="Times New Roman"/>
      <charset val="1"/>
      <family val="0"/>
      <i val="1"/>
      <color theme="1"/>
      <sz val="10"/>
    </font>
    <font>
      <name val="Times New Roman"/>
      <charset val="1"/>
      <family val="0"/>
      <strike val="1"/>
      <color theme="1"/>
      <sz val="10"/>
    </font>
    <font>
      <name val="Times New Roman"/>
      <charset val="1"/>
      <family val="0"/>
      <color rgb="FF1A3438"/>
      <sz val="10"/>
    </font>
    <font>
      <name val="Times New Roman"/>
      <charset val="1"/>
      <family val="0"/>
      <b val="1"/>
      <color theme="1"/>
      <sz val="11"/>
    </font>
    <font>
      <name val="Times New Roman"/>
      <charset val="1"/>
      <family val="0"/>
      <b val="1"/>
      <color theme="1"/>
      <sz val="11"/>
      <u val="single"/>
    </font>
    <font>
      <name val="Times New Roman"/>
      <charset val="1"/>
      <family val="0"/>
      <b val="1"/>
      <color rgb="FFFFFFFF"/>
      <sz val="11"/>
    </font>
    <font>
      <name val="Times New Roman"/>
      <charset val="1"/>
      <family val="0"/>
      <b val="1"/>
      <color rgb="FF9900FF"/>
      <sz val="11"/>
    </font>
    <font>
      <name val="Times New Roman"/>
      <charset val="1"/>
      <family val="0"/>
      <b val="1"/>
      <color rgb="FFFF9900"/>
      <sz val="11"/>
    </font>
    <font>
      <name val="Times New Roman"/>
      <charset val="1"/>
      <family val="0"/>
      <b val="1"/>
      <color theme="10"/>
      <sz val="11"/>
    </font>
    <font>
      <name val="Times New Roman"/>
      <charset val="1"/>
      <family val="0"/>
      <b val="1"/>
      <color rgb="FFFF0000"/>
      <sz val="11"/>
    </font>
    <font>
      <name val="Times New Roman"/>
      <charset val="1"/>
      <family val="0"/>
      <b val="1"/>
      <color theme="0"/>
      <sz val="11"/>
    </font>
    <font>
      <name val="Times New Roman"/>
      <charset val="1"/>
      <family val="0"/>
      <i val="1"/>
      <color theme="1"/>
      <sz val="11"/>
    </font>
    <font>
      <name val="Times New Roman"/>
      <charset val="1"/>
      <family val="0"/>
      <color rgb="FF1A3438"/>
      <sz val="11"/>
    </font>
    <font>
      <name val="Times New Roman"/>
      <charset val="1"/>
      <family val="0"/>
      <strike val="1"/>
      <color theme="1"/>
      <sz val="11"/>
    </font>
    <font>
      <name val="Times New Roman"/>
      <charset val="1"/>
      <family val="0"/>
      <strike val="1"/>
      <color rgb="FF1A3438"/>
      <sz val="11"/>
    </font>
    <font>
      <name val="Times New Roman"/>
      <charset val="1"/>
      <family val="0"/>
      <b val="1"/>
      <color theme="1"/>
      <sz val="18"/>
    </font>
    <font>
      <name val="Times New Roman"/>
      <charset val="1"/>
      <family val="0"/>
      <b val="1"/>
      <color rgb="FF4A86E8"/>
      <sz val="24"/>
    </font>
    <font>
      <name val="Times New Roman"/>
      <charset val="1"/>
      <family val="0"/>
      <b val="1"/>
      <color rgb="FF363636"/>
      <sz val="14"/>
    </font>
    <font>
      <name val="Times New Roman"/>
      <charset val="1"/>
      <family val="0"/>
      <i val="1"/>
      <color theme="1"/>
      <sz val="12"/>
    </font>
    <font>
      <name val="Times New Roman"/>
      <charset val="1"/>
      <family val="0"/>
      <color theme="1"/>
      <sz val="13"/>
    </font>
    <font>
      <name val="Times New Roman"/>
      <charset val="1"/>
      <family val="0"/>
      <color theme="1"/>
      <sz val="12"/>
    </font>
    <font>
      <name val="Times New Roman"/>
      <charset val="1"/>
      <family val="0"/>
      <color rgb="FF000000"/>
      <sz val="12"/>
      <u val="single"/>
    </font>
    <font>
      <name val="Times New Roman"/>
      <charset val="1"/>
      <family val="0"/>
      <color rgb="FF2C2C4D"/>
      <sz val="10"/>
    </font>
    <font>
      <name val="Arial"/>
      <charset val="1"/>
      <family val="0"/>
      <color theme="1"/>
      <sz val="10"/>
    </font>
    <font>
      <name val="Times New Roman"/>
      <charset val="1"/>
      <family val="0"/>
      <b val="1"/>
      <color rgb="FF993300"/>
      <sz val="14"/>
    </font>
    <font>
      <name val="Times New Roman"/>
      <charset val="1"/>
      <family val="0"/>
      <b val="1"/>
      <color rgb="FFFFFFFF"/>
      <sz val="12"/>
    </font>
    <font>
      <name val="Times New Roman"/>
      <charset val="1"/>
      <family val="0"/>
      <color rgb="FF000000"/>
      <sz val="12"/>
    </font>
    <font>
      <name val="Times New Roman"/>
      <charset val="1"/>
      <family val="0"/>
      <color theme="1"/>
      <sz val="10"/>
      <u val="single"/>
    </font>
    <font>
      <name val="Times New Roman"/>
      <charset val="1"/>
      <family val="0"/>
      <color rgb="FF2C2C4D"/>
      <sz val="10"/>
      <u val="single"/>
    </font>
    <font>
      <name val="Arial"/>
      <charset val="1"/>
      <family val="0"/>
      <color theme="1"/>
      <sz val="11"/>
    </font>
    <font>
      <name val="Times New Roman"/>
      <charset val="1"/>
      <family val="0"/>
      <b val="1"/>
      <color rgb="FF000000"/>
      <sz val="14"/>
    </font>
    <font>
      <name val="Times New Roman"/>
      <charset val="1"/>
      <family val="0"/>
      <b val="1"/>
      <color rgb="FF000000"/>
      <sz val="12"/>
    </font>
    <font>
      <name val="Times New Roman"/>
      <charset val="1"/>
      <family val="0"/>
      <color rgb="FF000000"/>
      <sz val="9"/>
    </font>
    <font>
      <name val="Times New Roman"/>
      <charset val="1"/>
      <family val="0"/>
      <b val="1"/>
      <color rgb="FF000000"/>
      <sz val="9"/>
    </font>
    <font>
      <name val="Times New Roman"/>
      <charset val="1"/>
      <family val="0"/>
      <color rgb="FF1155CC"/>
      <sz val="10"/>
    </font>
    <font>
      <name val="Times New Roman"/>
      <charset val="1"/>
      <family val="0"/>
      <color theme="10"/>
      <sz val="10"/>
    </font>
    <font>
      <name val="Times New Roman"/>
      <charset val="1"/>
      <family val="0"/>
      <color rgb="FF1155CC"/>
      <sz val="10"/>
      <u val="single"/>
    </font>
    <font>
      <name val="Arial"/>
      <family val="2"/>
      <color rgb="FF134F5C"/>
      <sz val="18"/>
    </font>
    <font>
      <name val="Arial"/>
      <family val="2"/>
      <color rgb="FF000000"/>
      <sz val="10"/>
    </font>
    <font>
      <name val="Arial"/>
      <family val="2"/>
      <color rgb="FF1A1A1A"/>
      <sz val="10"/>
    </font>
    <font>
      <name val="Times New Roman"/>
      <charset val="1"/>
      <family val="0"/>
      <b val="1"/>
      <color rgb="FF000000"/>
      <sz val="13"/>
    </font>
    <font>
      <name val="Times New Roman"/>
      <charset val="1"/>
      <family val="0"/>
      <color rgb="FF363636"/>
      <sz val="9"/>
    </font>
    <font>
      <name val="Times New Roman"/>
      <charset val="1"/>
      <family val="0"/>
      <color theme="1"/>
      <sz val="9"/>
    </font>
    <font>
      <name val="Times New Roman"/>
      <charset val="1"/>
      <family val="0"/>
      <color rgb="FFFF0000"/>
      <sz val="10"/>
    </font>
    <font>
      <name val="Arial"/>
      <charset val="1"/>
      <family val="0"/>
      <color theme="1"/>
      <sz val="9"/>
    </font>
    <font>
      <name val="Arial"/>
      <family val="2"/>
      <sz val="10"/>
    </font>
    <font>
      <name val="Times New Roman"/>
      <charset val="1"/>
      <family val="0"/>
      <b val="1"/>
      <color rgb="FF000000"/>
      <sz val="11"/>
    </font>
    <font>
      <name val="Georgia"/>
      <charset val="1"/>
      <family val="0"/>
      <color rgb="FF000000"/>
      <sz val="10"/>
    </font>
    <font>
      <name val="Times New Roman"/>
      <charset val="1"/>
      <family val="0"/>
      <i val="1"/>
      <color rgb="FF666666"/>
      <sz val="9"/>
    </font>
    <font>
      <name val="Arial"/>
      <charset val="1"/>
      <family val="0"/>
      <color theme="10"/>
      <sz val="10"/>
      <u val="single"/>
    </font>
    <font>
      <name val="Times New Roman"/>
      <charset val="1"/>
      <family val="0"/>
      <color rgb="FF000000"/>
      <sz val="11"/>
      <u val="single"/>
    </font>
    <font>
      <name val="Times New Roman"/>
      <b val="1"/>
      <color rgb="FFFFFFFF"/>
      <sz val="10"/>
    </font>
    <font>
      <name val="Times New Roman"/>
      <b val="1"/>
      <sz val="10"/>
    </font>
    <font>
      <name val="Times New Roman"/>
      <sz val="10"/>
    </font>
  </fonts>
  <fills count="37">
    <fill>
      <patternFill/>
    </fill>
    <fill>
      <patternFill patternType="gray125"/>
    </fill>
    <fill>
      <patternFill patternType="solid">
        <fgColor rgb="FFFFFFFF"/>
        <bgColor rgb="FFEFEFEF"/>
      </patternFill>
    </fill>
    <fill>
      <patternFill patternType="solid">
        <fgColor rgb="FFA4C2F4"/>
        <bgColor rgb="FF9FC5E8"/>
      </patternFill>
    </fill>
    <fill>
      <patternFill patternType="solid">
        <fgColor rgb="FF000080"/>
        <bgColor rgb="FF1A1A1A"/>
      </patternFill>
    </fill>
    <fill>
      <patternFill patternType="solid">
        <fgColor rgb="FFFFFF00"/>
        <bgColor rgb="FFFFD966"/>
      </patternFill>
    </fill>
    <fill>
      <patternFill patternType="solid">
        <fgColor rgb="FFECECEC"/>
        <bgColor rgb="FFEFEFEF"/>
      </patternFill>
    </fill>
    <fill>
      <patternFill patternType="solid">
        <fgColor rgb="FF4285F4"/>
        <bgColor rgb="FF4A86E8"/>
      </patternFill>
    </fill>
    <fill>
      <patternFill patternType="solid">
        <fgColor rgb="FFD8D8D8"/>
        <bgColor rgb="FFD9D9D9"/>
      </patternFill>
    </fill>
    <fill>
      <patternFill patternType="solid">
        <fgColor rgb="FFD9D9D9"/>
        <bgColor rgb="FFD8D8D8"/>
      </patternFill>
    </fill>
    <fill>
      <patternFill patternType="solid">
        <fgColor rgb="FF2850A2"/>
        <bgColor rgb="FF1155CC"/>
      </patternFill>
    </fill>
    <fill>
      <patternFill patternType="solid">
        <fgColor rgb="FF7968A6"/>
        <bgColor rgb="FF666666"/>
      </patternFill>
    </fill>
    <fill>
      <patternFill patternType="solid">
        <fgColor rgb="FFF6B26B"/>
        <bgColor rgb="FFFFC499"/>
      </patternFill>
    </fill>
    <fill>
      <patternFill patternType="solid">
        <fgColor rgb="FFF9CB9C"/>
        <bgColor rgb="FFFFC499"/>
      </patternFill>
    </fill>
    <fill>
      <patternFill patternType="solid">
        <fgColor rgb="FFFFC499"/>
        <bgColor rgb="FFF9CB9C"/>
      </patternFill>
    </fill>
    <fill>
      <patternFill patternType="solid">
        <fgColor rgb="FF76A5AF"/>
        <bgColor rgb="FF999999"/>
      </patternFill>
    </fill>
    <fill>
      <patternFill patternType="solid">
        <fgColor rgb="FFD0E0E3"/>
        <bgColor rgb="FFCFE2F3"/>
      </patternFill>
    </fill>
    <fill>
      <patternFill patternType="solid">
        <fgColor rgb="FF00FF00"/>
        <bgColor rgb="FF7AD592"/>
      </patternFill>
    </fill>
    <fill>
      <patternFill patternType="solid">
        <fgColor rgb="FFFF0000"/>
        <bgColor rgb="FFCD3707"/>
      </patternFill>
    </fill>
    <fill>
      <patternFill patternType="solid">
        <fgColor rgb="FF64A84F"/>
        <bgColor rgb="FF76A5AF"/>
      </patternFill>
    </fill>
    <fill>
      <patternFill patternType="solid">
        <fgColor rgb="FFFFD966"/>
        <bgColor rgb="FFFFE599"/>
      </patternFill>
    </fill>
    <fill>
      <patternFill patternType="solid">
        <fgColor rgb="FFCFE2F3"/>
        <bgColor rgb="FFD0E0E3"/>
      </patternFill>
    </fill>
    <fill>
      <patternFill patternType="solid">
        <fgColor rgb="FF93C47D"/>
        <bgColor rgb="FF92D050"/>
      </patternFill>
    </fill>
    <fill>
      <patternFill patternType="solid">
        <fgColor rgb="FFCCCCCC"/>
        <bgColor rgb="FFD8D8D8"/>
      </patternFill>
    </fill>
    <fill>
      <patternFill patternType="darkGray">
        <fgColor rgb="FFFF9900"/>
        <bgColor rgb="FFFF9700"/>
      </patternFill>
    </fill>
    <fill>
      <patternFill patternType="darkGray">
        <fgColor rgb="FFDFA5B0"/>
        <bgColor rgb="FFB7B7B7"/>
      </patternFill>
    </fill>
    <fill>
      <patternFill patternType="solid">
        <fgColor rgb="FFFCE5CD"/>
        <bgColor rgb="FFFEF1CC"/>
      </patternFill>
    </fill>
    <fill>
      <patternFill patternType="solid">
        <fgColor rgb="FFC9DAF8"/>
        <bgColor rgb="FFCFE2F3"/>
      </patternFill>
    </fill>
    <fill>
      <patternFill patternType="solid">
        <fgColor rgb="FFFFE599"/>
        <bgColor rgb="FFFCE5CD"/>
      </patternFill>
    </fill>
    <fill>
      <patternFill patternType="solid">
        <fgColor rgb="FF7AD592"/>
        <bgColor rgb="FF93C47D"/>
      </patternFill>
    </fill>
    <fill>
      <patternFill patternType="solid">
        <fgColor rgb="FF9BC2E6"/>
        <bgColor rgb="FF9FC5E8"/>
      </patternFill>
    </fill>
    <fill>
      <patternFill patternType="solid">
        <fgColor rgb="FFEFEFEF"/>
        <bgColor rgb="FFECECEC"/>
      </patternFill>
    </fill>
    <fill>
      <patternFill patternType="solid">
        <fgColor rgb="FF2850A2"/>
      </patternFill>
    </fill>
    <fill>
      <patternFill patternType="solid">
        <fgColor rgb="FFFFFF00"/>
      </patternFill>
    </fill>
    <fill>
      <patternFill patternType="solid">
        <fgColor rgb="FFF6B26B"/>
      </patternFill>
    </fill>
    <fill>
      <patternFill patternType="solid">
        <fgColor rgb="FFFFFFFF"/>
      </patternFill>
    </fill>
    <fill>
      <patternFill patternType="solid">
        <fgColor rgb="FFECECEC"/>
      </patternFill>
    </fill>
  </fills>
  <borders count="61">
    <border>
      <left/>
      <right/>
      <top/>
      <bottom/>
      <diagonal/>
    </border>
    <border>
      <left/>
      <right/>
      <top/>
      <bottom style="thin"/>
      <diagonal/>
    </border>
    <border>
      <left/>
      <right style="thin"/>
      <top/>
      <bottom style="thin"/>
      <diagonal/>
    </border>
    <border>
      <left style="thin"/>
      <right style="thin"/>
      <top style="thin"/>
      <bottom/>
      <diagonal/>
    </border>
    <border>
      <left/>
      <right style="thin"/>
      <top/>
      <bottom/>
      <diagonal/>
    </border>
    <border>
      <left/>
      <right style="thin"/>
      <top/>
      <bottom style="hair"/>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theme="0"/>
      </left>
      <right/>
      <top style="thin">
        <color theme="0"/>
      </top>
      <bottom style="thin">
        <color theme="1"/>
      </bottom>
      <diagonal/>
    </border>
    <border>
      <left style="thin">
        <color theme="0"/>
      </left>
      <right style="thin">
        <color theme="0"/>
      </right>
      <top style="thin">
        <color theme="0"/>
      </top>
      <bottom style="thin">
        <color theme="0"/>
      </bottom>
      <diagonal/>
    </border>
    <border>
      <left style="thin"/>
      <right style="thin"/>
      <top/>
      <bottom/>
      <diagonal/>
    </border>
    <border>
      <left style="thin"/>
      <right style="thin"/>
      <top/>
      <bottom style="thin"/>
      <diagonal/>
    </border>
    <border>
      <left style="thin"/>
      <right/>
      <top/>
      <bottom style="thin"/>
      <diagonal/>
    </border>
    <border>
      <left style="thin">
        <color theme="0"/>
      </left>
      <right style="thin"/>
      <top/>
      <bottom style="thin">
        <color theme="0"/>
      </bottom>
      <diagonal/>
    </border>
    <border>
      <left/>
      <right style="thin">
        <color theme="0"/>
      </right>
      <top/>
      <bottom style="thin">
        <color theme="0"/>
      </bottom>
      <diagonal/>
    </border>
    <border>
      <left style="thin"/>
      <right/>
      <top style="thin"/>
      <bottom style="thin"/>
      <diagonal/>
    </border>
    <border>
      <left style="thin"/>
      <right style="thin"/>
      <top/>
      <bottom style="hair"/>
      <diagonal/>
    </border>
    <border>
      <left/>
      <right style="thin">
        <color rgb="FFFFFFFF"/>
      </right>
      <top style="thin">
        <color rgb="FFFFFFFF"/>
      </top>
      <bottom style="thin">
        <color rgb="FFFFFFFF"/>
      </bottom>
      <diagonal/>
    </border>
    <border>
      <left/>
      <right style="thick">
        <color rgb="FFFFFFFF"/>
      </right>
      <top style="thin">
        <color rgb="FFFFFFFF"/>
      </top>
      <bottom/>
      <diagonal/>
    </border>
    <border>
      <left/>
      <right style="thick">
        <color rgb="FFFFFFFF"/>
      </right>
      <top style="thin">
        <color rgb="FFFFFFFF"/>
      </top>
      <bottom style="thick">
        <color rgb="FFFFFFFF"/>
      </bottom>
      <diagonal/>
    </border>
    <border>
      <left style="hair"/>
      <right style="hair"/>
      <top style="hair"/>
      <bottom style="hair"/>
      <diagonal/>
    </border>
    <border>
      <left/>
      <right style="thick">
        <color rgb="FFFFFFFF"/>
      </right>
      <top/>
      <bottom style="thick">
        <color rgb="FFFFFFFF"/>
      </bottom>
      <diagonal/>
    </border>
    <border>
      <left style="hair"/>
      <right/>
      <top style="hair"/>
      <bottom style="hair"/>
      <diagonal/>
    </border>
    <border>
      <left/>
      <right style="thick">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bottom style="thick">
        <color rgb="FFDFA5B0"/>
      </bottom>
      <diagonal/>
    </border>
    <border>
      <left/>
      <right style="thin">
        <color rgb="FFFFFFFF"/>
      </right>
      <top/>
      <bottom style="thick">
        <color rgb="FFDFA5B0"/>
      </bottom>
      <diagonal/>
    </border>
    <border>
      <left/>
      <right style="thin">
        <color rgb="FFFFFFFF"/>
      </right>
      <top/>
      <bottom/>
      <diagonal/>
    </border>
    <border>
      <left style="hair"/>
      <right style="hair"/>
      <top style="hair"/>
      <bottom/>
      <diagonal/>
    </border>
    <border>
      <left style="thin"/>
      <right/>
      <top style="thin"/>
      <bottom/>
      <diagonal/>
    </border>
    <border>
      <left style="dotted"/>
      <right style="dotted"/>
      <top style="dotted"/>
      <bottom style="dotted"/>
      <diagonal/>
    </border>
    <border>
      <left/>
      <right style="dotted"/>
      <top style="dotted"/>
      <bottom style="dotted"/>
      <diagonal/>
    </border>
    <border>
      <left/>
      <right style="thin">
        <color rgb="FFFFFFFF"/>
      </right>
      <top/>
      <bottom style="thin"/>
      <diagonal/>
    </border>
    <border>
      <left/>
      <right style="dotted"/>
      <top/>
      <bottom/>
      <diagonal/>
    </border>
    <border>
      <left style="dotted"/>
      <right style="dotted"/>
      <top/>
      <bottom style="dotted"/>
      <diagonal/>
    </border>
    <border>
      <left/>
      <right style="dotted"/>
      <top/>
      <bottom style="dotted"/>
      <diagonal/>
    </border>
    <border>
      <left/>
      <right/>
      <top/>
      <bottom style="dotted"/>
      <diagonal/>
    </border>
    <border>
      <left style="thin"/>
      <right/>
      <top/>
      <bottom/>
      <diagonal/>
    </border>
    <border>
      <left/>
      <right/>
      <top style="thin">
        <color theme="0"/>
      </top>
      <bottom/>
      <diagonal/>
    </border>
    <border>
      <left/>
      <right/>
      <top style="thin">
        <color theme="0"/>
      </top>
      <bottom style="thin">
        <color theme="1"/>
      </bottom>
      <diagonal/>
    </border>
    <border>
      <left/>
      <right/>
      <top style="thin"/>
      <bottom/>
      <diagonal/>
    </border>
    <border>
      <left/>
      <right/>
      <top style="thin"/>
      <bottom style="thin"/>
      <diagonal/>
    </border>
    <border>
      <left/>
      <right/>
      <top style="thin">
        <color theme="1"/>
      </top>
      <bottom/>
      <diagonal/>
    </border>
    <border>
      <left/>
      <right style="thin">
        <color theme="1"/>
      </right>
      <top style="thin">
        <color theme="1"/>
      </top>
      <bottom/>
      <diagonal/>
    </border>
    <border>
      <left/>
      <right/>
      <top style="hair"/>
      <bottom/>
      <diagonal/>
    </border>
    <border>
      <left/>
      <right style="hair"/>
      <top style="hair"/>
      <bottom/>
      <diagonal/>
    </border>
    <border>
      <left/>
      <right/>
      <top style="hair"/>
      <bottom style="hair"/>
      <diagonal/>
    </border>
    <border>
      <left/>
      <right style="hair"/>
      <top style="hair"/>
      <bottom style="hair"/>
      <diagonal/>
    </border>
    <border>
      <left style="thin">
        <color theme="1"/>
      </left>
      <right/>
      <top/>
      <bottom/>
      <diagonal/>
    </border>
    <border>
      <left style="thin">
        <color theme="1"/>
      </left>
      <right style="thin">
        <color theme="1"/>
      </right>
      <top/>
      <bottom/>
      <diagonal/>
    </border>
    <border>
      <left style="thin">
        <color theme="1"/>
      </left>
      <right style="thin">
        <color theme="1"/>
      </right>
      <top/>
      <bottom style="thin">
        <color theme="1"/>
      </bottom>
      <diagonal/>
    </border>
    <border>
      <left style="hair"/>
      <right/>
      <top/>
      <bottom/>
      <diagonal/>
    </border>
    <border>
      <left style="hair"/>
      <right style="hair"/>
      <top/>
      <bottom/>
      <diagonal/>
    </border>
    <border>
      <left style="hair"/>
      <right style="hair"/>
      <top/>
      <bottom style="hair"/>
      <diagonal/>
    </border>
    <border>
      <left style="thin"/>
      <right style="thin">
        <color theme="1"/>
      </right>
      <top/>
      <bottom style="thin">
        <color theme="1"/>
      </bottom>
      <diagonal/>
    </border>
    <border>
      <left style="thin"/>
      <right style="thin">
        <color theme="1"/>
      </right>
      <top/>
      <bottom/>
      <diagonal/>
    </border>
    <border>
      <left style="thin"/>
      <right style="thin"/>
      <top style="thin"/>
      <bottom style="thin"/>
    </border>
    <border>
      <left style="hair"/>
      <right style="hair"/>
      <top style="hair"/>
      <bottom style="hair"/>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4" fillId="0" borderId="1" applyAlignment="1" pivotButton="0" quotePrefix="0" xfId="0">
      <alignment horizontal="general" vertical="top" wrapText="1"/>
    </xf>
    <xf numFmtId="0" fontId="4" fillId="0" borderId="0" applyAlignment="1" pivotButton="0" quotePrefix="0" xfId="0">
      <alignment horizontal="center" vertical="center" wrapText="1"/>
    </xf>
    <xf numFmtId="0" fontId="4" fillId="0" borderId="0" applyAlignment="1" pivotButton="0" quotePrefix="0" xfId="0">
      <alignment horizontal="center" vertical="top" wrapText="1"/>
    </xf>
    <xf numFmtId="0" fontId="5" fillId="2" borderId="0" applyAlignment="1" pivotButton="0" quotePrefix="0" xfId="0">
      <alignment horizontal="general" vertical="top"/>
    </xf>
    <xf numFmtId="0" fontId="0" fillId="0" borderId="0" applyAlignment="1" pivotButton="0" quotePrefix="0" xfId="0">
      <alignment horizontal="general" vertical="bottom"/>
    </xf>
    <xf numFmtId="0" fontId="6" fillId="2" borderId="0" applyAlignment="1" pivotButton="0" quotePrefix="0" xfId="0">
      <alignment horizontal="general" vertical="top" wrapText="1"/>
    </xf>
    <xf numFmtId="0" fontId="7" fillId="2" borderId="0" applyAlignment="1" pivotButton="0" quotePrefix="0" xfId="0">
      <alignment horizontal="left" vertical="top" wrapText="1"/>
    </xf>
    <xf numFmtId="0" fontId="8" fillId="0" borderId="0" applyAlignment="1" pivotButton="0" quotePrefix="0" xfId="0">
      <alignment horizontal="general" vertical="top" wrapText="1"/>
    </xf>
    <xf numFmtId="0" fontId="4" fillId="0" borderId="2" applyAlignment="1" pivotButton="0" quotePrefix="0" xfId="0">
      <alignment horizontal="general" vertical="top" wrapText="1"/>
    </xf>
    <xf numFmtId="0" fontId="8" fillId="3" borderId="3" applyAlignment="1" pivotButton="0" quotePrefix="0" xfId="0">
      <alignment horizontal="center" vertical="center" wrapText="1"/>
    </xf>
    <xf numFmtId="0" fontId="9" fillId="4" borderId="0" applyAlignment="1" pivotButton="0" quotePrefix="0" xfId="0">
      <alignment horizontal="center" vertical="center" wrapText="1"/>
    </xf>
    <xf numFmtId="0" fontId="9" fillId="4" borderId="0" applyAlignment="1" pivotButton="0" quotePrefix="0" xfId="0">
      <alignment horizontal="general" vertical="center" wrapText="1"/>
    </xf>
    <xf numFmtId="0" fontId="4" fillId="0" borderId="4" applyAlignment="1" pivotButton="0" quotePrefix="0" xfId="0">
      <alignment horizontal="general" vertical="center" wrapText="1"/>
    </xf>
    <xf numFmtId="0" fontId="8" fillId="0" borderId="5" applyAlignment="1" pivotButton="0" quotePrefix="0" xfId="0">
      <alignment horizontal="center" vertical="center" wrapText="1"/>
    </xf>
    <xf numFmtId="0" fontId="10" fillId="4" borderId="6"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6" applyAlignment="1" pivotButton="0" quotePrefix="0" xfId="0">
      <alignment horizontal="general" vertical="center" wrapText="1"/>
    </xf>
    <xf numFmtId="0" fontId="9" fillId="4" borderId="7" applyAlignment="1" pivotButton="0" quotePrefix="0" xfId="0">
      <alignment horizontal="center" vertical="center" wrapTex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11" fillId="4" borderId="10" applyAlignment="1" pivotButton="0" quotePrefix="0" xfId="0">
      <alignment horizontal="center" vertical="top" wrapText="1"/>
    </xf>
    <xf numFmtId="0" fontId="4" fillId="0" borderId="0" applyAlignment="1" pivotButton="0" quotePrefix="0" xfId="0">
      <alignment horizontal="general" vertical="center" wrapText="1"/>
    </xf>
    <xf numFmtId="164" fontId="12" fillId="0" borderId="0" applyAlignment="1" pivotButton="0" quotePrefix="0" xfId="0">
      <alignment horizontal="general" vertical="center" wrapText="1"/>
    </xf>
    <xf numFmtId="0" fontId="4" fillId="0" borderId="4" applyAlignment="1" pivotButton="0" quotePrefix="0" xfId="0">
      <alignment horizontal="general" vertical="top" wrapText="1"/>
    </xf>
    <xf numFmtId="164" fontId="4" fillId="0" borderId="11" applyAlignment="1" pivotButton="0" quotePrefix="0" xfId="0">
      <alignment horizontal="center" vertical="center" wrapText="1"/>
    </xf>
    <xf numFmtId="0" fontId="8" fillId="0" borderId="12" applyAlignment="1" pivotButton="0" quotePrefix="0" xfId="0">
      <alignment horizontal="center" vertical="top" wrapText="1"/>
    </xf>
    <xf numFmtId="0" fontId="8" fillId="0" borderId="12" applyAlignment="1" pivotButton="0" quotePrefix="0" xfId="0">
      <alignment horizontal="center" vertical="top" wrapText="1"/>
    </xf>
    <xf numFmtId="0" fontId="8" fillId="0" borderId="13" applyAlignment="1" pivotButton="0" quotePrefix="0" xfId="0">
      <alignment horizontal="center" vertical="top" wrapText="1"/>
    </xf>
    <xf numFmtId="0" fontId="8" fillId="0" borderId="14" applyAlignment="1" pivotButton="0" quotePrefix="0" xfId="0">
      <alignment horizontal="center" vertical="top" wrapText="1"/>
    </xf>
    <xf numFmtId="0" fontId="13" fillId="0" borderId="15" applyAlignment="1" pivotButton="0" quotePrefix="0" xfId="0">
      <alignment horizontal="general" vertical="bottom" wrapText="1"/>
    </xf>
    <xf numFmtId="0" fontId="4" fillId="0" borderId="2" applyAlignment="1" pivotButton="0" quotePrefix="0" xfId="0">
      <alignment horizontal="left" vertical="top" wrapText="1"/>
    </xf>
    <xf numFmtId="0" fontId="8" fillId="0" borderId="12" applyAlignment="1" pivotButton="0" quotePrefix="0" xfId="0">
      <alignment horizontal="general" vertical="top" wrapText="1"/>
    </xf>
    <xf numFmtId="0" fontId="14" fillId="5" borderId="16" applyAlignment="1" pivotButton="0" quotePrefix="0" xfId="0">
      <alignment horizontal="center" vertical="top"/>
    </xf>
    <xf numFmtId="0" fontId="4" fillId="0" borderId="1" applyAlignment="1" pivotButton="0" quotePrefix="0" xfId="0">
      <alignment horizontal="center" vertical="center" wrapText="1"/>
    </xf>
    <xf numFmtId="0" fontId="4" fillId="5" borderId="6" applyAlignment="1" pivotButton="0" quotePrefix="0" xfId="0">
      <alignment horizontal="general" vertical="top" wrapText="1"/>
    </xf>
    <xf numFmtId="0" fontId="4" fillId="5" borderId="12" applyAlignment="1" pivotButton="0" quotePrefix="0" xfId="0">
      <alignment horizontal="general" vertical="top" wrapText="1"/>
    </xf>
    <xf numFmtId="0" fontId="4" fillId="5" borderId="6" applyAlignment="1" pivotButton="0" quotePrefix="0" xfId="0">
      <alignment horizontal="left" vertical="top" wrapText="1"/>
    </xf>
    <xf numFmtId="0" fontId="15" fillId="0" borderId="6" applyAlignment="1" pivotButton="0" quotePrefix="0" xfId="0">
      <alignment horizontal="center" vertical="top" wrapText="1"/>
    </xf>
    <xf numFmtId="0" fontId="16" fillId="2" borderId="6" applyAlignment="1" pivotButton="0" quotePrefix="0" xfId="0">
      <alignment horizontal="general" vertical="top" wrapText="1"/>
    </xf>
    <xf numFmtId="9" fontId="4" fillId="2" borderId="6" applyAlignment="1" pivotButton="0" quotePrefix="0" xfId="0">
      <alignment horizontal="center" vertical="center" wrapText="1"/>
    </xf>
    <xf numFmtId="0" fontId="4" fillId="0" borderId="6" applyAlignment="1" pivotButton="0" quotePrefix="0" xfId="0">
      <alignment horizontal="center" vertical="top" wrapText="1"/>
    </xf>
    <xf numFmtId="0" fontId="4" fillId="0" borderId="12" applyAlignment="1" pivotButton="0" quotePrefix="0" xfId="0">
      <alignment horizontal="center" vertical="top" wrapText="1"/>
    </xf>
    <xf numFmtId="0" fontId="4" fillId="0" borderId="12" applyAlignment="1" pivotButton="0" quotePrefix="0" xfId="0">
      <alignment horizontal="left" vertical="top" wrapText="1"/>
    </xf>
    <xf numFmtId="165" fontId="4" fillId="0" borderId="6" applyAlignment="1" pivotButton="0" quotePrefix="0" xfId="0">
      <alignment horizontal="center" vertical="top" wrapText="1"/>
    </xf>
    <xf numFmtId="0" fontId="15" fillId="2" borderId="6" applyAlignment="1" pivotButton="0" quotePrefix="0" xfId="0">
      <alignment horizontal="left" vertical="top" wrapText="1"/>
    </xf>
    <xf numFmtId="0" fontId="15" fillId="2" borderId="6" applyAlignment="1" pivotButton="0" quotePrefix="0" xfId="0">
      <alignment horizontal="general" vertical="top" wrapText="1"/>
    </xf>
    <xf numFmtId="0" fontId="12" fillId="0" borderId="0" applyAlignment="1" pivotButton="0" quotePrefix="0" xfId="0">
      <alignment horizontal="general" vertical="bottom" wrapText="1"/>
    </xf>
    <xf numFmtId="0" fontId="15" fillId="0" borderId="6" applyAlignment="1" pivotButton="0" quotePrefix="0" xfId="0">
      <alignment horizontal="general" vertical="top" wrapText="1"/>
    </xf>
    <xf numFmtId="0" fontId="15" fillId="0" borderId="0" applyAlignment="1" pivotButton="0" quotePrefix="0" xfId="0">
      <alignment horizontal="general" vertical="bottom"/>
    </xf>
    <xf numFmtId="0" fontId="17" fillId="2" borderId="6" applyAlignment="1" pivotButton="0" quotePrefix="0" xfId="0">
      <alignment horizontal="general" vertical="top" wrapText="1"/>
    </xf>
    <xf numFmtId="0" fontId="15" fillId="0" borderId="6" applyAlignment="1" pivotButton="0" quotePrefix="0" xfId="0">
      <alignment horizontal="left" vertical="top" wrapText="1"/>
    </xf>
    <xf numFmtId="0" fontId="4" fillId="0" borderId="17" applyAlignment="1" pivotButton="0" quotePrefix="0" xfId="0">
      <alignment horizontal="center" vertical="top" wrapText="1"/>
    </xf>
    <xf numFmtId="0" fontId="4" fillId="2" borderId="6" applyAlignment="1" pivotButton="0" quotePrefix="0" xfId="0">
      <alignment horizontal="center" vertical="center" wrapText="1"/>
    </xf>
    <xf numFmtId="0" fontId="4" fillId="0" borderId="6" applyAlignment="1" pivotButton="0" quotePrefix="0" xfId="0">
      <alignment horizontal="left" vertical="top" wrapText="1"/>
    </xf>
    <xf numFmtId="0" fontId="4" fillId="0" borderId="6" applyAlignment="1" pivotButton="0" quotePrefix="0" xfId="0">
      <alignment horizontal="general" vertical="top" wrapText="1"/>
    </xf>
    <xf numFmtId="0" fontId="4" fillId="2" borderId="6" applyAlignment="1" pivotButton="0" quotePrefix="0" xfId="0">
      <alignment horizontal="general" vertical="top" wrapText="1"/>
    </xf>
    <xf numFmtId="0" fontId="8" fillId="6" borderId="6" applyAlignment="1" pivotButton="0" quotePrefix="0" xfId="0">
      <alignment horizontal="center" vertical="top" wrapText="1"/>
    </xf>
    <xf numFmtId="0" fontId="8" fillId="6" borderId="6" applyAlignment="1" pivotButton="0" quotePrefix="0" xfId="0">
      <alignment horizontal="center" vertical="center" wrapText="1"/>
    </xf>
    <xf numFmtId="0" fontId="18" fillId="0" borderId="6" applyAlignment="1" pivotButton="0" quotePrefix="0" xfId="0">
      <alignment horizontal="center" vertical="top" wrapText="1"/>
    </xf>
    <xf numFmtId="0" fontId="19" fillId="0" borderId="6" applyAlignment="1" pivotButton="0" quotePrefix="0" xfId="0">
      <alignment horizontal="left" vertical="top" wrapText="1"/>
    </xf>
    <xf numFmtId="0" fontId="18" fillId="0" borderId="6" applyAlignment="1" pivotButton="0" quotePrefix="0" xfId="0">
      <alignment horizontal="general" vertical="top" wrapText="1"/>
    </xf>
    <xf numFmtId="0" fontId="20" fillId="6" borderId="6" applyAlignment="1" pivotButton="0" quotePrefix="0" xfId="0">
      <alignment horizontal="center" vertical="top" wrapText="1"/>
    </xf>
    <xf numFmtId="0" fontId="20" fillId="6" borderId="6" applyAlignment="1" pivotButton="0" quotePrefix="0" xfId="0">
      <alignment horizontal="center" vertical="center" wrapText="1"/>
    </xf>
    <xf numFmtId="9" fontId="20" fillId="6" borderId="6" applyAlignment="1" pivotButton="0" quotePrefix="0" xfId="0">
      <alignment horizontal="center" vertical="top" wrapText="1"/>
    </xf>
    <xf numFmtId="165" fontId="20" fillId="6" borderId="6" applyAlignment="1" pivotButton="0" quotePrefix="0" xfId="0">
      <alignment horizontal="center" vertical="top" wrapText="1"/>
    </xf>
    <xf numFmtId="9" fontId="20" fillId="6" borderId="6" applyAlignment="1" pivotButton="0" quotePrefix="0" xfId="0">
      <alignment horizontal="left" vertical="top" wrapText="1"/>
    </xf>
    <xf numFmtId="9" fontId="20" fillId="6" borderId="6" applyAlignment="1" pivotButton="0" quotePrefix="0" xfId="0">
      <alignment horizontal="general" vertical="top" wrapText="1"/>
    </xf>
    <xf numFmtId="165" fontId="4" fillId="0" borderId="0" applyAlignment="1" pivotButton="0" quotePrefix="0" xfId="0">
      <alignment horizontal="center" vertical="top" wrapText="1"/>
    </xf>
    <xf numFmtId="0" fontId="4" fillId="0" borderId="0" applyAlignment="1" pivotButton="0" quotePrefix="0" xfId="0">
      <alignment horizontal="left" vertical="top" wrapText="1"/>
    </xf>
    <xf numFmtId="165" fontId="4" fillId="0" borderId="0" applyAlignment="1" pivotButton="0" quotePrefix="0" xfId="0">
      <alignment horizontal="general" vertical="top" wrapText="1"/>
    </xf>
    <xf numFmtId="0" fontId="4" fillId="0" borderId="0" applyAlignment="1" pivotButton="0" quotePrefix="0" xfId="0">
      <alignment horizontal="general" vertical="bottom" wrapText="1"/>
    </xf>
    <xf numFmtId="0" fontId="12" fillId="0" borderId="0" applyAlignment="1" pivotButton="0" quotePrefix="0" xfId="0">
      <alignment horizontal="center" vertical="center" wrapText="1"/>
    </xf>
    <xf numFmtId="0" fontId="21" fillId="0" borderId="0" applyAlignment="1" pivotButton="0" quotePrefix="0" xfId="0">
      <alignment horizontal="general" vertical="bottom" wrapText="1"/>
    </xf>
    <xf numFmtId="0" fontId="21" fillId="0" borderId="0" applyAlignment="1" pivotButton="0" quotePrefix="0" xfId="0">
      <alignment horizontal="center" vertical="center" wrapText="1"/>
    </xf>
    <xf numFmtId="0" fontId="4" fillId="0" borderId="0" applyAlignment="1" pivotButton="0" quotePrefix="0" xfId="0">
      <alignment horizontal="general" vertical="bottom" wrapText="1"/>
    </xf>
    <xf numFmtId="0" fontId="22" fillId="0" borderId="0" applyAlignment="1" pivotButton="0" quotePrefix="0" xfId="0">
      <alignment horizontal="general" vertical="top" wrapText="1"/>
    </xf>
    <xf numFmtId="0" fontId="22" fillId="0" borderId="0" applyAlignment="1" pivotButton="0" quotePrefix="0" xfId="0">
      <alignment horizontal="center" vertical="center" wrapText="1"/>
    </xf>
    <xf numFmtId="165" fontId="12" fillId="0" borderId="0" applyAlignment="1" pivotButton="0" quotePrefix="0" xfId="0">
      <alignment horizontal="general" vertical="bottom" wrapText="1"/>
    </xf>
    <xf numFmtId="0" fontId="12" fillId="0" borderId="0" applyAlignment="1" pivotButton="0" quotePrefix="0" xfId="0">
      <alignment horizontal="left" vertical="bottom" wrapText="1"/>
    </xf>
    <xf numFmtId="0" fontId="12" fillId="0" borderId="0" applyAlignment="1" pivotButton="0" quotePrefix="0" xfId="0">
      <alignment horizontal="left" vertical="top" wrapText="1"/>
    </xf>
    <xf numFmtId="0" fontId="17" fillId="0" borderId="0" applyAlignment="1" pivotButton="0" quotePrefix="0" xfId="0">
      <alignment horizontal="general" vertical="top"/>
    </xf>
    <xf numFmtId="0" fontId="23" fillId="2" borderId="0" applyAlignment="1" pivotButton="0" quotePrefix="0" xfId="0">
      <alignment horizontal="general" vertical="top" wrapText="1"/>
    </xf>
    <xf numFmtId="0" fontId="24" fillId="2" borderId="0" applyAlignment="1" pivotButton="0" quotePrefix="0" xfId="0">
      <alignment horizontal="general" vertical="top" wrapText="1"/>
    </xf>
    <xf numFmtId="0" fontId="23" fillId="2" borderId="0" applyAlignment="1" pivotButton="0" quotePrefix="0" xfId="0">
      <alignment horizontal="general" vertical="top"/>
    </xf>
    <xf numFmtId="0" fontId="23" fillId="0" borderId="0" applyAlignment="1" pivotButton="0" quotePrefix="0" xfId="0">
      <alignment horizontal="left" vertical="top" wrapText="1"/>
    </xf>
    <xf numFmtId="0" fontId="15" fillId="0" borderId="0" applyAlignment="1" pivotButton="0" quotePrefix="0" xfId="0">
      <alignment horizontal="general" vertical="top" wrapText="1"/>
    </xf>
    <xf numFmtId="0" fontId="15" fillId="0" borderId="1" applyAlignment="1" pivotButton="0" quotePrefix="0" xfId="0">
      <alignment horizontal="general" vertical="top" wrapText="1"/>
    </xf>
    <xf numFmtId="0" fontId="15" fillId="0" borderId="0" applyAlignment="1" pivotButton="0" quotePrefix="0" xfId="0">
      <alignment horizontal="center" vertical="top" wrapText="1"/>
    </xf>
    <xf numFmtId="0" fontId="15" fillId="0" borderId="0" applyAlignment="1" pivotButton="0" quotePrefix="0" xfId="0">
      <alignment horizontal="left" vertical="top" wrapText="1"/>
    </xf>
    <xf numFmtId="0" fontId="23" fillId="3" borderId="6" applyAlignment="1" pivotButton="0" quotePrefix="0" xfId="0">
      <alignment horizontal="center" vertical="top" wrapText="1"/>
    </xf>
    <xf numFmtId="0" fontId="25" fillId="4" borderId="6" applyAlignment="1" pivotButton="0" quotePrefix="0" xfId="0">
      <alignment horizontal="center" vertical="top" wrapText="1"/>
    </xf>
    <xf numFmtId="0" fontId="15" fillId="0" borderId="4" applyAlignment="1" pivotButton="0" quotePrefix="0" xfId="0">
      <alignment horizontal="center" vertical="top" wrapText="1"/>
    </xf>
    <xf numFmtId="0" fontId="23" fillId="0" borderId="6" applyAlignment="1" pivotButton="0" quotePrefix="0" xfId="0">
      <alignment horizontal="center" vertical="top" wrapText="1"/>
    </xf>
    <xf numFmtId="0" fontId="17" fillId="0" borderId="0" applyAlignment="1" pivotButton="0" quotePrefix="0" xfId="0">
      <alignment horizontal="center" vertical="top"/>
    </xf>
    <xf numFmtId="0" fontId="15" fillId="0" borderId="4" applyAlignment="1" pivotButton="0" quotePrefix="0" xfId="0">
      <alignment horizontal="general" vertical="top" wrapText="1"/>
    </xf>
    <xf numFmtId="0" fontId="23" fillId="6" borderId="6" applyAlignment="1" pivotButton="0" quotePrefix="0" xfId="0">
      <alignment horizontal="center" vertical="top" wrapText="1"/>
    </xf>
    <xf numFmtId="0" fontId="15" fillId="0" borderId="6" applyAlignment="1" pivotButton="0" quotePrefix="0" xfId="0">
      <alignment horizontal="general" vertical="top"/>
    </xf>
    <xf numFmtId="0" fontId="15" fillId="5" borderId="6" applyAlignment="1" pivotButton="0" quotePrefix="0" xfId="0">
      <alignment horizontal="general" vertical="top" wrapText="1"/>
    </xf>
    <xf numFmtId="0" fontId="26" fillId="0" borderId="6" applyAlignment="1" pivotButton="0" quotePrefix="0" xfId="0">
      <alignment horizontal="left" vertical="top" wrapText="1"/>
    </xf>
    <xf numFmtId="0" fontId="16" fillId="2" borderId="6" applyAlignment="1" pivotButton="0" quotePrefix="0" xfId="0">
      <alignment horizontal="left" vertical="top" wrapText="1"/>
    </xf>
    <xf numFmtId="0" fontId="15" fillId="0" borderId="16" applyAlignment="1" pivotButton="0" quotePrefix="0" xfId="0">
      <alignment horizontal="center" vertical="top" wrapText="1"/>
    </xf>
    <xf numFmtId="0" fontId="16" fillId="2" borderId="16" applyAlignment="1" pivotButton="0" quotePrefix="0" xfId="0">
      <alignment horizontal="general" vertical="top" wrapText="1"/>
    </xf>
    <xf numFmtId="0" fontId="16" fillId="0" borderId="6" applyAlignment="1" pivotButton="0" quotePrefix="0" xfId="0">
      <alignment horizontal="general" vertical="top" wrapText="1"/>
    </xf>
    <xf numFmtId="0" fontId="16" fillId="0" borderId="16" applyAlignment="1" pivotButton="0" quotePrefix="0" xfId="0">
      <alignment horizontal="general" vertical="top" wrapText="1"/>
    </xf>
    <xf numFmtId="0" fontId="16" fillId="0" borderId="0" applyAlignment="1" pivotButton="0" quotePrefix="0" xfId="0">
      <alignment horizontal="general" vertical="bottom"/>
    </xf>
    <xf numFmtId="0" fontId="16" fillId="0" borderId="6" applyAlignment="1" pivotButton="0" quotePrefix="0" xfId="0">
      <alignment horizontal="left" vertical="top" wrapText="1"/>
    </xf>
    <xf numFmtId="0" fontId="15" fillId="0" borderId="6" applyAlignment="1" pivotButton="0" quotePrefix="0" xfId="0">
      <alignment horizontal="center" vertical="center"/>
    </xf>
    <xf numFmtId="0" fontId="27" fillId="0" borderId="6" applyAlignment="1" pivotButton="0" quotePrefix="0" xfId="0">
      <alignment horizontal="left" vertical="top" wrapText="1"/>
    </xf>
    <xf numFmtId="0" fontId="28" fillId="2" borderId="6" applyAlignment="1" pivotButton="0" quotePrefix="0" xfId="0">
      <alignment horizontal="general" vertical="top" wrapText="1"/>
    </xf>
    <xf numFmtId="0" fontId="29" fillId="0" borderId="6" applyAlignment="1" pivotButton="0" quotePrefix="0" xfId="0">
      <alignment horizontal="left" vertical="top" wrapText="1"/>
    </xf>
    <xf numFmtId="0" fontId="15" fillId="0" borderId="12" applyAlignment="1" pivotButton="0" quotePrefix="0" xfId="0">
      <alignment horizontal="center" vertical="top" wrapText="1"/>
    </xf>
    <xf numFmtId="0" fontId="23" fillId="6" borderId="6" applyAlignment="1" pivotButton="0" quotePrefix="0" xfId="0">
      <alignment horizontal="center" vertical="top" wrapText="1"/>
    </xf>
    <xf numFmtId="0" fontId="30" fillId="0" borderId="6" applyAlignment="1" pivotButton="0" quotePrefix="0" xfId="0">
      <alignment horizontal="center" vertical="top" wrapText="1"/>
    </xf>
    <xf numFmtId="0" fontId="23" fillId="6" borderId="6" applyAlignment="1" pivotButton="0" quotePrefix="0" xfId="0">
      <alignment horizontal="left" vertical="top" wrapText="1"/>
    </xf>
    <xf numFmtId="0" fontId="31" fillId="6" borderId="6" applyAlignment="1" pivotButton="0" quotePrefix="0" xfId="0">
      <alignment horizontal="center" vertical="top" wrapText="1"/>
    </xf>
    <xf numFmtId="9" fontId="31" fillId="6" borderId="6" applyAlignment="1" pivotButton="0" quotePrefix="0" xfId="0">
      <alignment horizontal="center" vertical="top" wrapText="1"/>
    </xf>
    <xf numFmtId="9" fontId="31" fillId="6" borderId="6" applyAlignment="1" pivotButton="0" quotePrefix="0" xfId="0">
      <alignment horizontal="left" vertical="top" wrapText="1"/>
    </xf>
    <xf numFmtId="0" fontId="15" fillId="0" borderId="0" applyAlignment="1" pivotButton="0" quotePrefix="0" xfId="0">
      <alignment horizontal="general" vertical="top"/>
    </xf>
    <xf numFmtId="0" fontId="32" fillId="0" borderId="0" applyAlignment="1" pivotButton="0" quotePrefix="0" xfId="0">
      <alignment horizontal="general" vertical="top" wrapText="1"/>
    </xf>
    <xf numFmtId="166" fontId="15" fillId="0" borderId="0" applyAlignment="1" pivotButton="0" quotePrefix="0" xfId="0">
      <alignment horizontal="general" vertical="top" wrapText="1"/>
    </xf>
    <xf numFmtId="0" fontId="33" fillId="0" borderId="0" applyAlignment="1" pivotButton="0" quotePrefix="0" xfId="0">
      <alignment horizontal="general" vertical="top"/>
    </xf>
    <xf numFmtId="0" fontId="34" fillId="0" borderId="0" applyAlignment="1" pivotButton="0" quotePrefix="0" xfId="0">
      <alignment horizontal="general" vertical="top" wrapText="1"/>
    </xf>
    <xf numFmtId="0" fontId="33" fillId="0" borderId="0" applyAlignment="1" pivotButton="0" quotePrefix="0" xfId="0">
      <alignment horizontal="general" vertical="top" wrapText="1"/>
    </xf>
    <xf numFmtId="166" fontId="33" fillId="0" borderId="0" applyAlignment="1" pivotButton="0" quotePrefix="0" xfId="0">
      <alignment horizontal="general" vertical="top" wrapText="1"/>
    </xf>
    <xf numFmtId="0" fontId="15" fillId="0" borderId="0" applyAlignment="1" pivotButton="0" quotePrefix="0" xfId="0">
      <alignment horizontal="general" vertical="top"/>
    </xf>
    <xf numFmtId="167" fontId="15" fillId="0" borderId="0" applyAlignment="1" pivotButton="0" quotePrefix="0" xfId="0">
      <alignment horizontal="general" vertical="top" wrapText="1"/>
    </xf>
    <xf numFmtId="0" fontId="17" fillId="0" borderId="0" applyAlignment="1" pivotButton="0" quotePrefix="0" xfId="0">
      <alignment horizontal="left" vertical="top"/>
    </xf>
    <xf numFmtId="0" fontId="35" fillId="0" borderId="0" applyAlignment="1" pivotButton="0" quotePrefix="0" xfId="0">
      <alignment horizontal="center" vertical="top"/>
    </xf>
    <xf numFmtId="0" fontId="4" fillId="0" borderId="0" applyAlignment="1" pivotButton="0" quotePrefix="0" xfId="0">
      <alignment horizontal="general" vertical="top"/>
    </xf>
    <xf numFmtId="0" fontId="36" fillId="2" borderId="10" applyAlignment="1" pivotButton="0" quotePrefix="0" xfId="0">
      <alignment horizontal="general" vertical="top"/>
    </xf>
    <xf numFmtId="0" fontId="4" fillId="2" borderId="18" applyAlignment="1" pivotButton="0" quotePrefix="0" xfId="0">
      <alignment horizontal="general" vertical="top"/>
    </xf>
    <xf numFmtId="0" fontId="4" fillId="2" borderId="0" applyAlignment="1" pivotButton="0" quotePrefix="0" xfId="0">
      <alignment horizontal="general" vertical="top"/>
    </xf>
    <xf numFmtId="0" fontId="4" fillId="2" borderId="19" applyAlignment="1" pivotButton="0" quotePrefix="0" xfId="0">
      <alignment horizontal="general" vertical="top"/>
    </xf>
    <xf numFmtId="0" fontId="4" fillId="0" borderId="20" applyAlignment="1" pivotButton="0" quotePrefix="0" xfId="0">
      <alignment horizontal="general" vertical="top"/>
    </xf>
    <xf numFmtId="0" fontId="37" fillId="2" borderId="21" applyAlignment="1" pivotButton="0" quotePrefix="0" xfId="0">
      <alignment horizontal="general" vertical="top"/>
    </xf>
    <xf numFmtId="0" fontId="4" fillId="0" borderId="22" applyAlignment="1" pivotButton="0" quotePrefix="0" xfId="0">
      <alignment horizontal="general" vertical="top"/>
    </xf>
    <xf numFmtId="0" fontId="38" fillId="0" borderId="23" applyAlignment="1" pivotButton="0" quotePrefix="0" xfId="0">
      <alignment horizontal="general" vertical="top"/>
    </xf>
    <xf numFmtId="165" fontId="39" fillId="0" borderId="21" applyAlignment="1" pivotButton="0" quotePrefix="0" xfId="0">
      <alignment horizontal="left" vertical="top"/>
    </xf>
    <xf numFmtId="0" fontId="40" fillId="0" borderId="21" applyAlignment="1" pivotButton="0" quotePrefix="0" xfId="0">
      <alignment horizontal="general" vertical="top"/>
    </xf>
    <xf numFmtId="0" fontId="4" fillId="0" borderId="24" applyAlignment="1" pivotButton="0" quotePrefix="0" xfId="0">
      <alignment horizontal="general" vertical="top"/>
    </xf>
    <xf numFmtId="0" fontId="4" fillId="0" borderId="25" applyAlignment="1" pivotButton="0" quotePrefix="0" xfId="0">
      <alignment horizontal="general" vertical="top"/>
    </xf>
    <xf numFmtId="0" fontId="4" fillId="0" borderId="21" applyAlignment="1" pivotButton="0" quotePrefix="0" xfId="0">
      <alignment horizontal="general" vertical="top"/>
    </xf>
    <xf numFmtId="0" fontId="38" fillId="0" borderId="23" applyAlignment="1" pivotButton="0" quotePrefix="0" xfId="0">
      <alignment horizontal="general" vertical="top" wrapText="1"/>
    </xf>
    <xf numFmtId="0" fontId="41" fillId="0" borderId="21" applyAlignment="1" pivotButton="0" quotePrefix="0" xfId="0">
      <alignment horizontal="general" vertical="top"/>
    </xf>
    <xf numFmtId="49" fontId="40" fillId="0" borderId="21" applyAlignment="1" pivotButton="0" quotePrefix="0" xfId="0">
      <alignment horizontal="general" vertical="top"/>
    </xf>
    <xf numFmtId="0" fontId="42" fillId="0" borderId="25" applyAlignment="1" pivotButton="0" quotePrefix="0" xfId="0">
      <alignment horizontal="general" vertical="top"/>
    </xf>
    <xf numFmtId="0" fontId="4" fillId="0" borderId="15" applyAlignment="1" pivotButton="0" quotePrefix="0" xfId="0">
      <alignment horizontal="general" vertical="top"/>
    </xf>
    <xf numFmtId="0" fontId="4" fillId="0" borderId="26" applyAlignment="1" pivotButton="0" quotePrefix="0" xfId="0">
      <alignment horizontal="general" vertical="top"/>
    </xf>
    <xf numFmtId="0" fontId="4" fillId="2" borderId="15" applyAlignment="1" pivotButton="0" quotePrefix="0" xfId="0">
      <alignment horizontal="general" vertical="top"/>
    </xf>
    <xf numFmtId="0" fontId="4" fillId="0" borderId="27" applyAlignment="1" pivotButton="0" quotePrefix="0" xfId="0">
      <alignment horizontal="general" vertical="top"/>
    </xf>
    <xf numFmtId="0" fontId="4" fillId="2" borderId="28" applyAlignment="1" pivotButton="0" quotePrefix="0" xfId="0">
      <alignment horizontal="general" vertical="top"/>
    </xf>
    <xf numFmtId="0" fontId="43" fillId="0" borderId="0" applyAlignment="1" pivotButton="0" quotePrefix="0" xfId="0">
      <alignment horizontal="general" vertical="bottom"/>
    </xf>
    <xf numFmtId="0" fontId="43" fillId="0" borderId="29" applyAlignment="1" pivotButton="0" quotePrefix="0" xfId="0">
      <alignment horizontal="general" vertical="bottom"/>
    </xf>
    <xf numFmtId="0" fontId="44" fillId="0" borderId="0" applyAlignment="1" pivotButton="0" quotePrefix="0" xfId="0">
      <alignment horizontal="general" vertical="bottom"/>
    </xf>
    <xf numFmtId="0" fontId="40" fillId="0" borderId="0" applyAlignment="1" pivotButton="0" quotePrefix="0" xfId="0">
      <alignment horizontal="general" vertical="top" wrapText="1"/>
    </xf>
    <xf numFmtId="0" fontId="45" fillId="7" borderId="21" applyAlignment="1" pivotButton="0" quotePrefix="0" xfId="0">
      <alignment horizontal="center" vertical="top" wrapText="1"/>
    </xf>
    <xf numFmtId="168" fontId="40" fillId="0" borderId="0" applyAlignment="1" pivotButton="0" quotePrefix="0" xfId="0">
      <alignment horizontal="general" vertical="top" wrapText="1"/>
    </xf>
    <xf numFmtId="0" fontId="46" fillId="0" borderId="0" applyAlignment="1" pivotButton="0" quotePrefix="0" xfId="0">
      <alignment horizontal="general" vertical="top" wrapText="1"/>
    </xf>
    <xf numFmtId="169" fontId="39" fillId="0" borderId="21" applyAlignment="1" pivotButton="0" quotePrefix="0" xfId="0">
      <alignment horizontal="center" vertical="bottom"/>
    </xf>
    <xf numFmtId="0" fontId="39" fillId="0" borderId="21" applyAlignment="1" pivotButton="0" quotePrefix="0" xfId="0">
      <alignment horizontal="center" vertical="bottom"/>
    </xf>
    <xf numFmtId="0" fontId="39" fillId="0" borderId="21" applyAlignment="1" pivotButton="0" quotePrefix="0" xfId="0">
      <alignment horizontal="general" vertical="bottom"/>
    </xf>
    <xf numFmtId="168" fontId="43" fillId="0" borderId="0" applyAlignment="1" pivotButton="0" quotePrefix="0" xfId="0">
      <alignment horizontal="general" vertical="bottom"/>
    </xf>
    <xf numFmtId="169" fontId="43" fillId="0" borderId="21" applyAlignment="1" pivotButton="0" quotePrefix="0" xfId="0">
      <alignment horizontal="general" vertical="bottom"/>
    </xf>
    <xf numFmtId="49" fontId="43" fillId="0" borderId="21" applyAlignment="1" pivotButton="0" quotePrefix="0" xfId="0">
      <alignment horizontal="general" vertical="bottom"/>
    </xf>
    <xf numFmtId="0" fontId="43" fillId="0" borderId="21" applyAlignment="1" pivotButton="0" quotePrefix="0" xfId="0">
      <alignment horizontal="general" vertical="bottom"/>
    </xf>
    <xf numFmtId="169" fontId="43" fillId="2" borderId="0" applyAlignment="1" pivotButton="0" quotePrefix="0" xfId="0">
      <alignment horizontal="general" vertical="bottom"/>
    </xf>
    <xf numFmtId="49" fontId="43" fillId="2" borderId="0" applyAlignment="1" pivotButton="0" quotePrefix="0" xfId="0">
      <alignment horizontal="general" vertical="bottom"/>
    </xf>
    <xf numFmtId="0" fontId="43" fillId="2" borderId="0" applyAlignment="1" pivotButton="0" quotePrefix="0" xfId="0">
      <alignment horizontal="general" vertical="bottom"/>
    </xf>
    <xf numFmtId="0" fontId="8" fillId="8" borderId="21" applyAlignment="1" pivotButton="0" quotePrefix="0" xfId="0">
      <alignment horizontal="general" vertical="top" wrapText="1"/>
    </xf>
    <xf numFmtId="0" fontId="4" fillId="2" borderId="21" applyAlignment="1" pivotButton="0" quotePrefix="0" xfId="0">
      <alignment horizontal="general" vertical="top" wrapText="1"/>
    </xf>
    <xf numFmtId="0" fontId="4" fillId="0" borderId="21" applyAlignment="1" pivotButton="0" quotePrefix="0" xfId="0">
      <alignment horizontal="general" vertical="top" wrapText="1"/>
    </xf>
    <xf numFmtId="0" fontId="4" fillId="2" borderId="21" applyAlignment="1" pivotButton="0" quotePrefix="0" xfId="0">
      <alignment horizontal="general" vertical="center" wrapText="1"/>
    </xf>
    <xf numFmtId="0" fontId="4" fillId="2" borderId="21" applyAlignment="1" pivotButton="0" quotePrefix="0" xfId="0">
      <alignment horizontal="left" vertical="top" wrapText="1"/>
    </xf>
    <xf numFmtId="0" fontId="8" fillId="9" borderId="21" applyAlignment="1" pivotButton="0" quotePrefix="0" xfId="0">
      <alignment horizontal="center" vertical="top" wrapText="1"/>
    </xf>
    <xf numFmtId="0" fontId="4" fillId="2" borderId="30" applyAlignment="1" pivotButton="0" quotePrefix="0" xfId="0">
      <alignment horizontal="center" vertical="top" wrapText="1"/>
    </xf>
    <xf numFmtId="0" fontId="4" fillId="2" borderId="21" applyAlignment="1" pivotButton="0" quotePrefix="0" xfId="0">
      <alignment horizontal="center" vertical="top" wrapText="1"/>
    </xf>
    <xf numFmtId="0" fontId="4" fillId="0" borderId="30" applyAlignment="1" pivotButton="0" quotePrefix="0" xfId="0">
      <alignment horizontal="general" vertical="top" wrapText="1"/>
    </xf>
    <xf numFmtId="0" fontId="18" fillId="10" borderId="6" applyAlignment="1" pivotButton="0" quotePrefix="0" xfId="0">
      <alignment horizontal="center" vertical="top" wrapText="1"/>
    </xf>
    <xf numFmtId="0" fontId="9" fillId="10" borderId="6" applyAlignment="1" pivotButton="0" quotePrefix="0" xfId="0">
      <alignment horizontal="center" vertical="top" wrapText="1"/>
    </xf>
    <xf numFmtId="0" fontId="9" fillId="11" borderId="6" applyAlignment="1" pivotButton="0" quotePrefix="0" xfId="0">
      <alignment horizontal="center" vertical="top" wrapText="1"/>
    </xf>
    <xf numFmtId="0" fontId="4" fillId="2" borderId="0" applyAlignment="1" pivotButton="0" quotePrefix="0" xfId="0">
      <alignment horizontal="general" vertical="top" wrapText="1"/>
    </xf>
    <xf numFmtId="0" fontId="4" fillId="2" borderId="0" applyAlignment="1" pivotButton="0" quotePrefix="0" xfId="0">
      <alignment horizontal="general" vertical="top" wrapText="1"/>
    </xf>
    <xf numFmtId="0" fontId="9" fillId="11" borderId="2" applyAlignment="1" pivotButton="0" quotePrefix="0" xfId="0">
      <alignment horizontal="center" vertical="top" wrapText="1"/>
    </xf>
    <xf numFmtId="0" fontId="4" fillId="2" borderId="0" applyAlignment="1" pivotButton="0" quotePrefix="0" xfId="0">
      <alignment horizontal="center" vertical="top" wrapText="1"/>
    </xf>
    <xf numFmtId="0" fontId="4" fillId="2" borderId="0" applyAlignment="1" pivotButton="0" quotePrefix="0" xfId="0">
      <alignment horizontal="center" vertical="top" wrapText="1"/>
    </xf>
    <xf numFmtId="0" fontId="9" fillId="11" borderId="3" applyAlignment="1" pivotButton="0" quotePrefix="0" xfId="0">
      <alignment horizontal="center" vertical="top" wrapText="1"/>
    </xf>
    <xf numFmtId="0" fontId="8" fillId="5" borderId="21" applyAlignment="1" pivotButton="0" quotePrefix="0" xfId="0">
      <alignment horizontal="general" vertical="top" wrapText="1"/>
    </xf>
    <xf numFmtId="0" fontId="4" fillId="5" borderId="21" applyAlignment="1" pivotButton="0" quotePrefix="0" xfId="0">
      <alignment horizontal="general" vertical="top" wrapText="1"/>
    </xf>
    <xf numFmtId="0" fontId="8" fillId="12" borderId="21" applyAlignment="1" pivotButton="0" quotePrefix="0" xfId="0">
      <alignment horizontal="general" vertical="top" wrapText="1"/>
    </xf>
    <xf numFmtId="0" fontId="4" fillId="12" borderId="21" applyAlignment="1" pivotButton="0" quotePrefix="0" xfId="0">
      <alignment horizontal="general" vertical="top" wrapText="1"/>
    </xf>
    <xf numFmtId="0" fontId="12" fillId="2" borderId="21" applyAlignment="1" pivotButton="0" quotePrefix="0" xfId="0">
      <alignment horizontal="general" vertical="top" wrapText="1"/>
    </xf>
    <xf numFmtId="0" fontId="4" fillId="0" borderId="21" applyAlignment="1" pivotButton="0" quotePrefix="0" xfId="0">
      <alignment horizontal="left" vertical="top" wrapText="1"/>
    </xf>
    <xf numFmtId="0" fontId="47" fillId="0" borderId="21" applyAlignment="1" pivotButton="0" quotePrefix="0" xfId="0">
      <alignment horizontal="general" vertical="top" wrapText="1"/>
    </xf>
    <xf numFmtId="0" fontId="15" fillId="0" borderId="21" applyAlignment="1" pivotButton="0" quotePrefix="0" xfId="0">
      <alignment horizontal="general" vertical="top"/>
    </xf>
    <xf numFmtId="0" fontId="15" fillId="0" borderId="21" applyAlignment="1" pivotButton="0" quotePrefix="0" xfId="0">
      <alignment horizontal="general" vertical="top" wrapText="1"/>
    </xf>
    <xf numFmtId="0" fontId="8" fillId="13" borderId="21" applyAlignment="1" pivotButton="0" quotePrefix="0" xfId="0">
      <alignment horizontal="general" vertical="top" wrapText="1"/>
    </xf>
    <xf numFmtId="0" fontId="4" fillId="13" borderId="21" applyAlignment="1" pivotButton="0" quotePrefix="0" xfId="0">
      <alignment horizontal="general" vertical="top" wrapText="1"/>
    </xf>
    <xf numFmtId="0" fontId="16" fillId="0" borderId="21" applyAlignment="1" pivotButton="0" quotePrefix="0" xfId="0">
      <alignment horizontal="general" vertical="top" wrapText="1"/>
    </xf>
    <xf numFmtId="0" fontId="8" fillId="14" borderId="21" applyAlignment="1" pivotButton="0" quotePrefix="0" xfId="0">
      <alignment horizontal="general" vertical="top" wrapText="1"/>
    </xf>
    <xf numFmtId="0" fontId="4" fillId="14" borderId="21" applyAlignment="1" pivotButton="0" quotePrefix="0" xfId="0">
      <alignment horizontal="general" vertical="top" wrapText="1"/>
    </xf>
    <xf numFmtId="0" fontId="16" fillId="0" borderId="0" applyAlignment="1" pivotButton="0" quotePrefix="0" xfId="0">
      <alignment horizontal="general" vertical="top" wrapText="1"/>
    </xf>
    <xf numFmtId="0" fontId="4" fillId="0" borderId="0" applyAlignment="1" pivotButton="0" quotePrefix="0" xfId="0">
      <alignment horizontal="center" vertical="center"/>
    </xf>
    <xf numFmtId="0" fontId="8" fillId="5" borderId="21" applyAlignment="1" pivotButton="0" quotePrefix="0" xfId="0">
      <alignment horizontal="center" vertical="center"/>
    </xf>
    <xf numFmtId="0" fontId="8" fillId="5" borderId="23" applyAlignment="1" pivotButton="0" quotePrefix="0" xfId="0">
      <alignment horizontal="center" vertical="center"/>
    </xf>
    <xf numFmtId="0" fontId="4" fillId="0" borderId="0" applyAlignment="1" pivotButton="0" quotePrefix="0" xfId="0">
      <alignment horizontal="general" vertical="center"/>
    </xf>
    <xf numFmtId="0" fontId="4" fillId="0" borderId="21" applyAlignment="1" pivotButton="0" quotePrefix="0" xfId="0">
      <alignment horizontal="general" vertical="center"/>
    </xf>
    <xf numFmtId="0" fontId="4" fillId="0" borderId="30" applyAlignment="1" pivotButton="0" quotePrefix="0" xfId="0">
      <alignment horizontal="general" vertical="center"/>
    </xf>
    <xf numFmtId="0" fontId="4" fillId="0" borderId="23" applyAlignment="1" pivotButton="0" quotePrefix="0" xfId="0">
      <alignment horizontal="general" vertical="center"/>
    </xf>
    <xf numFmtId="0" fontId="12" fillId="2" borderId="0" applyAlignment="1" pivotButton="0" quotePrefix="0" xfId="0">
      <alignment horizontal="left" vertical="bottom"/>
    </xf>
    <xf numFmtId="0" fontId="43" fillId="0" borderId="0" applyAlignment="1" pivotButton="0" quotePrefix="0" xfId="0">
      <alignment horizontal="general" vertical="bottom" wrapText="1"/>
    </xf>
    <xf numFmtId="0" fontId="12" fillId="2" borderId="30" applyAlignment="1" pivotButton="0" quotePrefix="0" xfId="0">
      <alignment horizontal="center" vertical="top" wrapText="1"/>
    </xf>
    <xf numFmtId="0" fontId="42" fillId="0" borderId="21" applyAlignment="1" pivotButton="0" quotePrefix="0" xfId="0">
      <alignment horizontal="general" vertical="top" wrapText="1"/>
    </xf>
    <xf numFmtId="0" fontId="12" fillId="0" borderId="21" applyAlignment="1" pivotButton="0" quotePrefix="0" xfId="0">
      <alignment horizontal="general" vertical="top" wrapText="1"/>
    </xf>
    <xf numFmtId="0" fontId="13" fillId="13" borderId="21" applyAlignment="1" pivotButton="0" quotePrefix="0" xfId="0">
      <alignment horizontal="general" vertical="top" wrapText="1"/>
    </xf>
    <xf numFmtId="0" fontId="4" fillId="13" borderId="21" applyAlignment="1" pivotButton="0" quotePrefix="0" xfId="0">
      <alignment horizontal="left" vertical="top" wrapText="1"/>
    </xf>
    <xf numFmtId="0" fontId="42" fillId="13" borderId="21" applyAlignment="1" pivotButton="0" quotePrefix="0" xfId="0">
      <alignment horizontal="general" vertical="top" wrapText="1"/>
    </xf>
    <xf numFmtId="0" fontId="48" fillId="0" borderId="21" applyAlignment="1" pivotButton="0" quotePrefix="0" xfId="0">
      <alignment horizontal="general" vertical="top" wrapText="1"/>
    </xf>
    <xf numFmtId="0" fontId="42" fillId="2" borderId="21" applyAlignment="1" pivotButton="0" quotePrefix="0" xfId="0">
      <alignment horizontal="left" vertical="top" wrapText="1"/>
    </xf>
    <xf numFmtId="0" fontId="21" fillId="0" borderId="21" applyAlignment="1" pivotButton="0" quotePrefix="0" xfId="0">
      <alignment horizontal="general" vertical="top" wrapText="1"/>
    </xf>
    <xf numFmtId="0" fontId="21" fillId="0" borderId="21" applyAlignment="1" pivotButton="0" quotePrefix="0" xfId="0">
      <alignment horizontal="left" vertical="top" wrapText="1"/>
    </xf>
    <xf numFmtId="0" fontId="23" fillId="13" borderId="21" applyAlignment="1" pivotButton="0" quotePrefix="0" xfId="0">
      <alignment horizontal="general" vertical="top" wrapText="1"/>
    </xf>
    <xf numFmtId="0" fontId="49" fillId="13" borderId="21" applyAlignment="1" pivotButton="0" quotePrefix="0" xfId="0">
      <alignment horizontal="general" vertical="top"/>
    </xf>
    <xf numFmtId="0" fontId="23" fillId="5" borderId="21" applyAlignment="1" pivotButton="0" quotePrefix="0" xfId="0">
      <alignment horizontal="general" vertical="top" wrapText="1"/>
    </xf>
    <xf numFmtId="0" fontId="15" fillId="5" borderId="21" applyAlignment="1" pivotButton="0" quotePrefix="0" xfId="0">
      <alignment horizontal="general" vertical="top" wrapText="1"/>
    </xf>
    <xf numFmtId="0" fontId="49" fillId="5" borderId="21" applyAlignment="1" pivotButton="0" quotePrefix="0" xfId="0">
      <alignment horizontal="general" vertical="top"/>
    </xf>
    <xf numFmtId="0" fontId="13" fillId="15" borderId="0" applyAlignment="1" pivotButton="0" quotePrefix="0" xfId="0">
      <alignment horizontal="general" vertical="bottom"/>
    </xf>
    <xf numFmtId="0" fontId="12" fillId="15" borderId="0" applyAlignment="1" pivotButton="0" quotePrefix="0" xfId="0">
      <alignment horizontal="general" vertical="bottom"/>
    </xf>
    <xf numFmtId="0" fontId="12" fillId="0" borderId="0" applyAlignment="1" pivotButton="0" quotePrefix="0" xfId="0">
      <alignment horizontal="general" vertical="bottom"/>
    </xf>
    <xf numFmtId="0" fontId="12" fillId="16" borderId="6" applyAlignment="1" pivotButton="0" quotePrefix="0" xfId="0">
      <alignment horizontal="general" vertical="top"/>
    </xf>
    <xf numFmtId="170" fontId="12" fillId="0" borderId="2" applyAlignment="1" pivotButton="0" quotePrefix="0" xfId="0">
      <alignment horizontal="center" vertical="center"/>
    </xf>
    <xf numFmtId="0" fontId="12" fillId="0" borderId="0" applyAlignment="1" pivotButton="0" quotePrefix="0" xfId="0">
      <alignment horizontal="general" vertical="top"/>
    </xf>
    <xf numFmtId="0" fontId="13" fillId="16" borderId="6" applyAlignment="1" pivotButton="0" quotePrefix="0" xfId="0">
      <alignment horizontal="general" vertical="center"/>
    </xf>
    <xf numFmtId="0" fontId="13" fillId="16" borderId="2" applyAlignment="1" pivotButton="0" quotePrefix="0" xfId="0">
      <alignment horizontal="general" vertical="center"/>
    </xf>
    <xf numFmtId="0" fontId="13" fillId="0" borderId="7" applyAlignment="1" pivotButton="0" quotePrefix="0" xfId="0">
      <alignment horizontal="center" vertical="bottom"/>
    </xf>
    <xf numFmtId="0" fontId="13" fillId="0" borderId="8" applyAlignment="1" pivotButton="0" quotePrefix="0" xfId="0">
      <alignment horizontal="left" vertical="bottom"/>
    </xf>
    <xf numFmtId="0" fontId="13" fillId="17" borderId="6" applyAlignment="1" pivotButton="0" quotePrefix="0" xfId="0">
      <alignment horizontal="center" vertical="bottom"/>
    </xf>
    <xf numFmtId="0" fontId="12" fillId="0" borderId="0" applyAlignment="1" pivotButton="0" quotePrefix="0" xfId="0">
      <alignment horizontal="center" vertical="bottom"/>
    </xf>
    <xf numFmtId="0" fontId="12" fillId="0" borderId="2" applyAlignment="1" pivotButton="0" quotePrefix="0" xfId="0">
      <alignment horizontal="center" vertical="top"/>
    </xf>
    <xf numFmtId="0" fontId="13" fillId="0" borderId="2" applyAlignment="1" pivotButton="0" quotePrefix="0" xfId="0">
      <alignment horizontal="center" vertical="bottom"/>
    </xf>
    <xf numFmtId="0" fontId="13" fillId="0" borderId="1" applyAlignment="1" pivotButton="0" quotePrefix="0" xfId="0">
      <alignment horizontal="center" vertical="bottom"/>
    </xf>
    <xf numFmtId="0" fontId="13" fillId="18" borderId="6" applyAlignment="1" pivotButton="0" quotePrefix="0" xfId="0">
      <alignment horizontal="center" vertical="bottom"/>
    </xf>
    <xf numFmtId="0" fontId="4" fillId="0" borderId="0" applyAlignment="1" pivotButton="0" quotePrefix="0" xfId="0">
      <alignment horizontal="general" vertical="bottom"/>
    </xf>
    <xf numFmtId="0" fontId="12"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center" vertical="center"/>
    </xf>
    <xf numFmtId="0" fontId="12" fillId="0" borderId="0" applyAlignment="1" pivotButton="0" quotePrefix="0" xfId="0">
      <alignment horizontal="general" vertical="center"/>
    </xf>
    <xf numFmtId="0" fontId="13" fillId="0" borderId="6" applyAlignment="1" pivotButton="0" quotePrefix="0" xfId="0">
      <alignment horizontal="center" vertical="center"/>
    </xf>
    <xf numFmtId="0" fontId="13" fillId="0" borderId="6" applyAlignment="1" pivotButton="0" quotePrefix="0" xfId="0">
      <alignment horizontal="center" vertical="bottom"/>
    </xf>
    <xf numFmtId="170" fontId="12" fillId="0" borderId="6" applyAlignment="1" pivotButton="0" quotePrefix="0" xfId="0">
      <alignment horizontal="center" vertical="center"/>
    </xf>
    <xf numFmtId="0" fontId="12" fillId="16" borderId="16" applyAlignment="1" pivotButton="0" quotePrefix="0" xfId="0">
      <alignment horizontal="left" vertical="top"/>
    </xf>
    <xf numFmtId="0" fontId="12" fillId="0" borderId="2" applyAlignment="1" pivotButton="0" quotePrefix="0" xfId="0">
      <alignment horizontal="center" vertical="top" wrapText="1"/>
    </xf>
    <xf numFmtId="0" fontId="13" fillId="0" borderId="2" applyAlignment="1" pivotButton="0" quotePrefix="0" xfId="0">
      <alignment horizontal="center" vertical="center"/>
    </xf>
    <xf numFmtId="0" fontId="12" fillId="0" borderId="2" applyAlignment="1" pivotButton="0" quotePrefix="0" xfId="0">
      <alignment horizontal="left" vertical="top"/>
    </xf>
    <xf numFmtId="0" fontId="13" fillId="0" borderId="0" applyAlignment="1" pivotButton="0" quotePrefix="0" xfId="0">
      <alignment horizontal="center" vertical="bottom"/>
    </xf>
    <xf numFmtId="0" fontId="50" fillId="0" borderId="0" applyAlignment="1" pivotButton="0" quotePrefix="0" xfId="0">
      <alignment horizontal="left" vertical="center"/>
    </xf>
    <xf numFmtId="0" fontId="51" fillId="0" borderId="0" applyAlignment="1" pivotButton="0" quotePrefix="0" xfId="0">
      <alignment horizontal="center" vertical="bottom"/>
    </xf>
    <xf numFmtId="0" fontId="13" fillId="3" borderId="6" applyAlignment="1" pivotButton="0" quotePrefix="0" xfId="0">
      <alignment horizontal="center" vertical="center"/>
    </xf>
    <xf numFmtId="0" fontId="13" fillId="3" borderId="7" applyAlignment="1" pivotButton="0" quotePrefix="0" xfId="0">
      <alignment horizontal="center" vertical="bottom"/>
    </xf>
    <xf numFmtId="0" fontId="13" fillId="19" borderId="7" applyAlignment="1" pivotButton="0" quotePrefix="0" xfId="0">
      <alignment horizontal="center" vertical="center"/>
    </xf>
    <xf numFmtId="0" fontId="12" fillId="19" borderId="6" applyAlignment="1" pivotButton="0" quotePrefix="0" xfId="0">
      <alignment horizontal="general" vertical="center"/>
    </xf>
    <xf numFmtId="0" fontId="13" fillId="20" borderId="7" applyAlignment="1" pivotButton="0" quotePrefix="0" xfId="0">
      <alignment horizontal="center" vertical="center"/>
    </xf>
    <xf numFmtId="0" fontId="13" fillId="21" borderId="6" applyAlignment="1" pivotButton="0" quotePrefix="0" xfId="0">
      <alignment horizontal="center" vertical="center"/>
    </xf>
    <xf numFmtId="0" fontId="13" fillId="3" borderId="12" applyAlignment="1" pivotButton="0" quotePrefix="0" xfId="0">
      <alignment horizontal="center" vertical="center"/>
    </xf>
    <xf numFmtId="0" fontId="13" fillId="19" borderId="2" applyAlignment="1" pivotButton="0" quotePrefix="0" xfId="0">
      <alignment horizontal="center" vertical="center" wrapText="1"/>
    </xf>
    <xf numFmtId="0" fontId="13" fillId="22" borderId="2" applyAlignment="1" pivotButton="0" quotePrefix="0" xfId="0">
      <alignment horizontal="center" vertical="center"/>
    </xf>
    <xf numFmtId="0" fontId="13" fillId="22" borderId="2" applyAlignment="1" pivotButton="0" quotePrefix="0" xfId="0">
      <alignment horizontal="center" vertical="center" wrapText="1"/>
    </xf>
    <xf numFmtId="0" fontId="13" fillId="19" borderId="2" applyAlignment="1" pivotButton="0" quotePrefix="0" xfId="0">
      <alignment horizontal="center" vertical="center"/>
    </xf>
    <xf numFmtId="0" fontId="13" fillId="19" borderId="6" applyAlignment="1" pivotButton="0" quotePrefix="0" xfId="0">
      <alignment horizontal="center" vertical="center"/>
    </xf>
    <xf numFmtId="0" fontId="13" fillId="20" borderId="2" applyAlignment="1" pivotButton="0" quotePrefix="0" xfId="0">
      <alignment horizontal="center" vertical="center"/>
    </xf>
    <xf numFmtId="0" fontId="12" fillId="19" borderId="4" applyAlignment="1" pivotButton="0" quotePrefix="0" xfId="0">
      <alignment horizontal="center" vertical="top"/>
    </xf>
    <xf numFmtId="0" fontId="12" fillId="22" borderId="4" applyAlignment="1" pivotButton="0" quotePrefix="0" xfId="0">
      <alignment horizontal="center" vertical="top"/>
    </xf>
    <xf numFmtId="10" fontId="12" fillId="19" borderId="4" applyAlignment="1" pivotButton="0" quotePrefix="0" xfId="0">
      <alignment horizontal="center" vertical="bottom"/>
    </xf>
    <xf numFmtId="0" fontId="12" fillId="19" borderId="6" applyAlignment="1" pivotButton="0" quotePrefix="0" xfId="0">
      <alignment horizontal="general" vertical="top"/>
    </xf>
    <xf numFmtId="0" fontId="13" fillId="20" borderId="4" applyAlignment="1" pivotButton="0" quotePrefix="0" xfId="0">
      <alignment horizontal="center" vertical="bottom"/>
    </xf>
    <xf numFmtId="0" fontId="13" fillId="21" borderId="6" applyAlignment="1" pivotButton="0" quotePrefix="0" xfId="0">
      <alignment horizontal="center" vertical="bottom"/>
    </xf>
    <xf numFmtId="0" fontId="13" fillId="23" borderId="6" applyAlignment="1" pivotButton="0" quotePrefix="0" xfId="0">
      <alignment horizontal="general" vertical="bottom"/>
    </xf>
    <xf numFmtId="0" fontId="13" fillId="23" borderId="31" applyAlignment="1" pivotButton="0" quotePrefix="0" xfId="0">
      <alignment horizontal="general" vertical="bottom"/>
    </xf>
    <xf numFmtId="0" fontId="12" fillId="23" borderId="6" applyAlignment="1" pivotButton="0" quotePrefix="0" xfId="0">
      <alignment horizontal="center" vertical="bottom"/>
    </xf>
    <xf numFmtId="0" fontId="52" fillId="23" borderId="6" applyAlignment="1" pivotButton="0" quotePrefix="0" xfId="0">
      <alignment horizontal="general" vertical="bottom"/>
    </xf>
    <xf numFmtId="0" fontId="53" fillId="0" borderId="16" applyAlignment="1" pivotButton="0" quotePrefix="0" xfId="0">
      <alignment horizontal="center" vertical="bottom"/>
    </xf>
    <xf numFmtId="49" fontId="54" fillId="0" borderId="16" applyAlignment="1" pivotButton="0" quotePrefix="0" xfId="0">
      <alignment horizontal="left" vertical="center" wrapText="1"/>
    </xf>
    <xf numFmtId="0" fontId="12" fillId="0" borderId="6" applyAlignment="1" pivotButton="0" quotePrefix="0" xfId="0">
      <alignment horizontal="center" vertical="bottom"/>
    </xf>
    <xf numFmtId="10" fontId="12" fillId="0" borderId="6" applyAlignment="1" pivotButton="0" quotePrefix="0" xfId="0">
      <alignment horizontal="center" vertical="bottom"/>
    </xf>
    <xf numFmtId="0" fontId="52" fillId="0" borderId="6" applyAlignment="1" pivotButton="0" quotePrefix="0" xfId="0">
      <alignment horizontal="general" vertical="bottom"/>
    </xf>
    <xf numFmtId="0" fontId="12" fillId="24" borderId="6" applyAlignment="1" pivotButton="0" quotePrefix="0" xfId="0">
      <alignment horizontal="center" vertical="bottom"/>
    </xf>
    <xf numFmtId="0" fontId="53" fillId="0" borderId="13" applyAlignment="1" pivotButton="0" quotePrefix="0" xfId="0">
      <alignment horizontal="center" vertical="bottom"/>
    </xf>
    <xf numFmtId="0" fontId="53" fillId="0" borderId="0" applyAlignment="1" pivotButton="0" quotePrefix="0" xfId="0">
      <alignment horizontal="general" vertical="bottom"/>
    </xf>
    <xf numFmtId="49" fontId="55" fillId="0" borderId="0" applyAlignment="1" pivotButton="0" quotePrefix="0" xfId="0">
      <alignment horizontal="left" vertical="center" wrapText="1"/>
    </xf>
    <xf numFmtId="10" fontId="12" fillId="0" borderId="0" applyAlignment="1" pivotButton="0" quotePrefix="0" xfId="0">
      <alignment horizontal="center" vertical="bottom"/>
    </xf>
    <xf numFmtId="0" fontId="52" fillId="0" borderId="0" applyAlignment="1" pivotButton="0" quotePrefix="0" xfId="0">
      <alignment horizontal="general" vertical="bottom"/>
    </xf>
    <xf numFmtId="0" fontId="56" fillId="0" borderId="0" applyAlignment="1" pivotButton="0" quotePrefix="0" xfId="0">
      <alignment horizontal="left" vertical="bottom"/>
    </xf>
    <xf numFmtId="0" fontId="60" fillId="5" borderId="0" applyAlignment="1" pivotButton="0" quotePrefix="0" xfId="0">
      <alignment horizontal="center" vertical="top"/>
    </xf>
    <xf numFmtId="0" fontId="12" fillId="15" borderId="0" applyAlignment="1" pivotButton="0" quotePrefix="0" xfId="0">
      <alignment horizontal="center" vertical="top" wrapText="1"/>
    </xf>
    <xf numFmtId="0" fontId="12" fillId="15" borderId="0" applyAlignment="1" pivotButton="0" quotePrefix="0" xfId="0">
      <alignment horizontal="center" vertical="top"/>
    </xf>
    <xf numFmtId="0" fontId="4" fillId="0" borderId="0" applyAlignment="1" pivotButton="0" quotePrefix="0" xfId="0">
      <alignment horizontal="center" vertical="top"/>
    </xf>
    <xf numFmtId="0" fontId="13" fillId="0" borderId="6" applyAlignment="1" pivotButton="0" quotePrefix="0" xfId="0">
      <alignment horizontal="center" vertical="top"/>
    </xf>
    <xf numFmtId="0" fontId="13" fillId="19" borderId="2" applyAlignment="1" pivotButton="0" quotePrefix="0" xfId="0">
      <alignment horizontal="center" vertical="top"/>
    </xf>
    <xf numFmtId="0" fontId="13" fillId="19" borderId="2" applyAlignment="1" pivotButton="0" quotePrefix="0" xfId="0">
      <alignment horizontal="center" vertical="top" wrapText="1"/>
    </xf>
    <xf numFmtId="0" fontId="12" fillId="16" borderId="7" applyAlignment="1" pivotButton="0" quotePrefix="0" xfId="0">
      <alignment horizontal="left" vertical="top"/>
    </xf>
    <xf numFmtId="170" fontId="12" fillId="0" borderId="2" applyAlignment="1" pivotButton="0" quotePrefix="0" xfId="0">
      <alignment horizontal="center" vertical="top" wrapText="1"/>
    </xf>
    <xf numFmtId="0" fontId="12" fillId="0" borderId="0" applyAlignment="1" pivotButton="0" quotePrefix="0" xfId="0">
      <alignment horizontal="general" vertical="top" wrapText="1"/>
    </xf>
    <xf numFmtId="0" fontId="43" fillId="0" borderId="0" applyAlignment="1" pivotButton="0" quotePrefix="0" xfId="0">
      <alignment horizontal="left" vertical="top"/>
    </xf>
    <xf numFmtId="0" fontId="13" fillId="16" borderId="6" applyAlignment="1" pivotButton="0" quotePrefix="0" xfId="0">
      <alignment horizontal="center" vertical="top" wrapText="1"/>
    </xf>
    <xf numFmtId="0" fontId="13" fillId="0" borderId="0" applyAlignment="1" pivotButton="0" quotePrefix="0" xfId="0">
      <alignment horizontal="center" vertical="top"/>
    </xf>
    <xf numFmtId="0" fontId="13" fillId="18" borderId="6" applyAlignment="1" pivotButton="0" quotePrefix="0" xfId="0">
      <alignment horizontal="center" vertical="top"/>
    </xf>
    <xf numFmtId="0" fontId="52" fillId="2" borderId="6" applyAlignment="1" pivotButton="0" quotePrefix="0" xfId="0">
      <alignment horizontal="center" vertical="top"/>
    </xf>
    <xf numFmtId="0" fontId="12" fillId="16" borderId="2" applyAlignment="1" pivotButton="0" quotePrefix="0" xfId="0">
      <alignment horizontal="left" vertical="top"/>
    </xf>
    <xf numFmtId="0" fontId="12" fillId="16" borderId="16" applyAlignment="1" pivotButton="0" quotePrefix="0" xfId="0">
      <alignment horizontal="right" vertical="top" wrapText="1"/>
    </xf>
    <xf numFmtId="0" fontId="4" fillId="0" borderId="6" applyAlignment="1" pivotButton="0" quotePrefix="0" xfId="0">
      <alignment horizontal="center" vertical="top"/>
    </xf>
    <xf numFmtId="0" fontId="4" fillId="25" borderId="6" applyAlignment="1" pivotButton="0" quotePrefix="0" xfId="0">
      <alignment horizontal="center" vertical="top" wrapText="1"/>
    </xf>
    <xf numFmtId="0" fontId="13" fillId="24" borderId="6" applyAlignment="1" pivotButton="0" quotePrefix="0" xfId="0">
      <alignment horizontal="center" vertical="top"/>
    </xf>
    <xf numFmtId="0" fontId="12" fillId="0" borderId="0" applyAlignment="1" pivotButton="0" quotePrefix="0" xfId="0">
      <alignment horizontal="left" vertical="top"/>
    </xf>
    <xf numFmtId="0" fontId="43" fillId="0" borderId="0" applyAlignment="1" pivotButton="0" quotePrefix="0" xfId="0">
      <alignment horizontal="general" vertical="top"/>
    </xf>
    <xf numFmtId="0" fontId="13" fillId="26" borderId="6" applyAlignment="1" pivotButton="0" quotePrefix="0" xfId="0">
      <alignment horizontal="center" vertical="top"/>
    </xf>
    <xf numFmtId="0" fontId="13" fillId="21" borderId="6" applyAlignment="1" pivotButton="0" quotePrefix="0" xfId="0">
      <alignment horizontal="center" vertical="top"/>
    </xf>
    <xf numFmtId="0" fontId="12" fillId="0" borderId="0" applyAlignment="1" pivotButton="0" quotePrefix="0" xfId="0">
      <alignment horizontal="center" vertical="top"/>
    </xf>
    <xf numFmtId="0" fontId="12" fillId="0" borderId="6" applyAlignment="1" pivotButton="0" quotePrefix="0" xfId="0">
      <alignment horizontal="center" vertical="top"/>
    </xf>
    <xf numFmtId="0" fontId="12" fillId="5" borderId="6" applyAlignment="1" pivotButton="0" quotePrefix="0" xfId="0">
      <alignment horizontal="center" vertical="top"/>
    </xf>
    <xf numFmtId="0" fontId="12" fillId="17" borderId="6" applyAlignment="1" pivotButton="0" quotePrefix="0" xfId="0">
      <alignment horizontal="center" vertical="top"/>
    </xf>
    <xf numFmtId="0" fontId="13" fillId="27" borderId="6" applyAlignment="1" pivotButton="0" quotePrefix="0" xfId="0">
      <alignment horizontal="left" vertical="top"/>
    </xf>
    <xf numFmtId="0" fontId="12" fillId="27" borderId="7" applyAlignment="1" pivotButton="0" quotePrefix="0" xfId="0">
      <alignment horizontal="left" vertical="top"/>
    </xf>
    <xf numFmtId="0" fontId="13" fillId="28" borderId="8" applyAlignment="1" pivotButton="0" quotePrefix="0" xfId="0">
      <alignment horizontal="general" vertical="top" wrapText="1"/>
    </xf>
    <xf numFmtId="0" fontId="13" fillId="28" borderId="8" applyAlignment="1" pivotButton="0" quotePrefix="0" xfId="0">
      <alignment horizontal="left" vertical="top" wrapText="1"/>
    </xf>
    <xf numFmtId="0" fontId="8" fillId="29" borderId="16" applyAlignment="1" pivotButton="0" quotePrefix="0" xfId="0">
      <alignment horizontal="left" vertical="top"/>
    </xf>
    <xf numFmtId="0" fontId="8" fillId="29" borderId="0" applyAlignment="1" pivotButton="0" quotePrefix="0" xfId="0">
      <alignment horizontal="left" vertical="top"/>
    </xf>
    <xf numFmtId="0" fontId="12" fillId="27" borderId="11" applyAlignment="1" pivotButton="0" quotePrefix="0" xfId="0">
      <alignment horizontal="left" vertical="top"/>
    </xf>
    <xf numFmtId="0" fontId="12" fillId="27" borderId="4" applyAlignment="1" pivotButton="0" quotePrefix="0" xfId="0">
      <alignment horizontal="center" vertical="top"/>
    </xf>
    <xf numFmtId="0" fontId="12" fillId="27" borderId="4" applyAlignment="1" pivotButton="0" quotePrefix="0" xfId="0">
      <alignment horizontal="left" vertical="top"/>
    </xf>
    <xf numFmtId="0" fontId="12" fillId="27" borderId="4" applyAlignment="1" pivotButton="0" quotePrefix="0" xfId="0">
      <alignment horizontal="center" vertical="top" wrapText="1"/>
    </xf>
    <xf numFmtId="0" fontId="8" fillId="28" borderId="6" applyAlignment="1" pivotButton="0" quotePrefix="0" xfId="0">
      <alignment horizontal="center" vertical="top" wrapText="1"/>
    </xf>
    <xf numFmtId="0" fontId="8" fillId="28" borderId="7" applyAlignment="1" pivotButton="0" quotePrefix="0" xfId="0">
      <alignment horizontal="center" vertical="top" wrapText="1"/>
    </xf>
    <xf numFmtId="0" fontId="8" fillId="29" borderId="7" applyAlignment="1" pivotButton="0" quotePrefix="0" xfId="0">
      <alignment horizontal="center" vertical="top"/>
    </xf>
    <xf numFmtId="0" fontId="8" fillId="29" borderId="8" applyAlignment="1" pivotButton="0" quotePrefix="0" xfId="0">
      <alignment horizontal="center" vertical="top"/>
    </xf>
    <xf numFmtId="0" fontId="8" fillId="29" borderId="7" applyAlignment="1" pivotButton="0" quotePrefix="0" xfId="0">
      <alignment horizontal="left" vertical="top"/>
    </xf>
    <xf numFmtId="0" fontId="8" fillId="29" borderId="6" applyAlignment="1" pivotButton="0" quotePrefix="0" xfId="0">
      <alignment horizontal="center" vertical="top" wrapText="1"/>
    </xf>
    <xf numFmtId="0" fontId="8" fillId="29" borderId="0" applyAlignment="1" pivotButton="0" quotePrefix="0" xfId="0">
      <alignment horizontal="center" vertical="top" wrapText="1"/>
    </xf>
    <xf numFmtId="0" fontId="12" fillId="0" borderId="6" applyAlignment="1" pivotButton="0" quotePrefix="0" xfId="0">
      <alignment horizontal="left" vertical="top" wrapText="1"/>
    </xf>
    <xf numFmtId="0" fontId="4" fillId="0" borderId="6" applyAlignment="1" pivotButton="0" quotePrefix="0" xfId="0">
      <alignment horizontal="center" vertical="top"/>
    </xf>
    <xf numFmtId="0" fontId="12" fillId="0" borderId="6" applyAlignment="1" pivotButton="0" quotePrefix="0" xfId="0">
      <alignment horizontal="general" vertical="top" wrapText="1"/>
    </xf>
    <xf numFmtId="0" fontId="61" fillId="0" borderId="6" applyAlignment="1" pivotButton="0" quotePrefix="0" xfId="0">
      <alignment horizontal="general" vertical="top" wrapText="1"/>
    </xf>
    <xf numFmtId="0" fontId="62" fillId="0" borderId="6" applyAlignment="1" pivotButton="0" quotePrefix="0" xfId="0">
      <alignment horizontal="general" vertical="top" wrapText="1"/>
    </xf>
    <xf numFmtId="170" fontId="12" fillId="0" borderId="6" applyAlignment="1" pivotButton="0" quotePrefix="0" xfId="0">
      <alignment horizontal="center" vertical="top" wrapText="1"/>
    </xf>
    <xf numFmtId="49" fontId="4" fillId="0" borderId="6" applyAlignment="1" pivotButton="0" quotePrefix="0" xfId="0">
      <alignment horizontal="left" vertical="top" wrapText="1"/>
    </xf>
    <xf numFmtId="165" fontId="4" fillId="0" borderId="6" applyAlignment="1" pivotButton="0" quotePrefix="0" xfId="0">
      <alignment horizontal="center" vertical="top"/>
    </xf>
    <xf numFmtId="49" fontId="4" fillId="0" borderId="3" applyAlignment="1" pivotButton="0" quotePrefix="0" xfId="0">
      <alignment horizontal="left" vertical="top" wrapText="1"/>
    </xf>
    <xf numFmtId="0" fontId="12" fillId="0" borderId="3" applyAlignment="1" pivotButton="0" quotePrefix="0" xfId="0">
      <alignment horizontal="general" vertical="top" wrapText="1"/>
    </xf>
    <xf numFmtId="0" fontId="12" fillId="2" borderId="0" applyAlignment="1" pivotButton="0" quotePrefix="0" xfId="0">
      <alignment horizontal="left" vertical="top" wrapText="1"/>
    </xf>
    <xf numFmtId="165" fontId="12" fillId="0" borderId="2" applyAlignment="1" pivotButton="0" quotePrefix="0" xfId="0">
      <alignment horizontal="center" vertical="top" wrapText="1"/>
    </xf>
    <xf numFmtId="0" fontId="4" fillId="0" borderId="6" applyAlignment="1" pivotButton="0" quotePrefix="0" xfId="0">
      <alignment horizontal="general" vertical="top"/>
    </xf>
    <xf numFmtId="0" fontId="4" fillId="0" borderId="2" applyAlignment="1" pivotButton="0" quotePrefix="0" xfId="0">
      <alignment horizontal="center" vertical="top"/>
    </xf>
    <xf numFmtId="0" fontId="4" fillId="2" borderId="2" applyAlignment="1" pivotButton="0" quotePrefix="0" xfId="0">
      <alignment horizontal="general" vertical="top" wrapText="1"/>
    </xf>
    <xf numFmtId="0" fontId="63" fillId="0" borderId="6" applyAlignment="1" pivotButton="0" quotePrefix="0" xfId="0">
      <alignment horizontal="left" vertical="top" wrapText="1"/>
    </xf>
    <xf numFmtId="49" fontId="4" fillId="0" borderId="6" applyAlignment="1" pivotButton="0" quotePrefix="0" xfId="0">
      <alignment horizontal="general" vertical="top" wrapText="1"/>
    </xf>
    <xf numFmtId="0" fontId="4" fillId="2" borderId="6" applyAlignment="1" pivotButton="0" quotePrefix="0" xfId="0">
      <alignment horizontal="left" vertical="top" wrapText="1"/>
    </xf>
    <xf numFmtId="49" fontId="4" fillId="2" borderId="6" applyAlignment="1" pivotButton="0" quotePrefix="0" xfId="0">
      <alignment horizontal="general" vertical="top" wrapText="1"/>
    </xf>
    <xf numFmtId="170" fontId="12" fillId="0" borderId="6" applyAlignment="1" pivotButton="0" quotePrefix="0" xfId="0">
      <alignment horizontal="center" vertical="top"/>
    </xf>
    <xf numFmtId="0" fontId="12" fillId="0" borderId="6" applyAlignment="1" pivotButton="0" quotePrefix="0" xfId="0">
      <alignment horizontal="center" vertical="top"/>
    </xf>
    <xf numFmtId="0" fontId="12" fillId="2" borderId="6" applyAlignment="1" pivotButton="0" quotePrefix="0" xfId="0">
      <alignment horizontal="left" vertical="top" wrapText="1"/>
    </xf>
    <xf numFmtId="0" fontId="12" fillId="0" borderId="6" applyAlignment="1" pivotButton="0" quotePrefix="0" xfId="0">
      <alignment horizontal="left" vertical="top"/>
    </xf>
    <xf numFmtId="0" fontId="12" fillId="0" borderId="6" applyAlignment="1" pivotButton="0" quotePrefix="0" xfId="0">
      <alignment horizontal="general" vertical="top"/>
    </xf>
    <xf numFmtId="0" fontId="64" fillId="2" borderId="6" applyAlignment="1" pivotButton="0" quotePrefix="0" xfId="0">
      <alignment horizontal="left" vertical="top" wrapText="1"/>
    </xf>
    <xf numFmtId="0" fontId="43" fillId="0" borderId="6" applyAlignment="1" pivotButton="0" quotePrefix="0" xfId="0">
      <alignment horizontal="general" vertical="top"/>
    </xf>
    <xf numFmtId="0" fontId="12" fillId="2" borderId="6" applyAlignment="1" pivotButton="0" quotePrefix="0" xfId="0">
      <alignment horizontal="left" vertical="top"/>
    </xf>
    <xf numFmtId="0" fontId="49" fillId="0" borderId="0" applyAlignment="1" pivotButton="0" quotePrefix="0" xfId="0">
      <alignment horizontal="general" vertical="bottom"/>
    </xf>
    <xf numFmtId="0" fontId="66" fillId="30" borderId="32" applyAlignment="1" pivotButton="0" quotePrefix="0" xfId="0">
      <alignment horizontal="center" vertical="center" wrapText="1" readingOrder="1"/>
    </xf>
    <xf numFmtId="0" fontId="66" fillId="30" borderId="33" applyAlignment="1" pivotButton="0" quotePrefix="0" xfId="0">
      <alignment horizontal="center" vertical="center" wrapText="1" readingOrder="1"/>
    </xf>
    <xf numFmtId="0" fontId="66" fillId="5" borderId="33" applyAlignment="1" pivotButton="0" quotePrefix="0" xfId="0">
      <alignment horizontal="center" vertical="center" wrapText="1" readingOrder="1"/>
    </xf>
    <xf numFmtId="0" fontId="13" fillId="30" borderId="33" applyAlignment="1" pivotButton="0" quotePrefix="0" xfId="0">
      <alignment horizontal="center" vertical="center" wrapText="1" readingOrder="1"/>
    </xf>
    <xf numFmtId="0" fontId="13" fillId="5" borderId="33" applyAlignment="1" pivotButton="0" quotePrefix="0" xfId="0">
      <alignment horizontal="center" vertical="center" wrapText="1" readingOrder="1"/>
    </xf>
    <xf numFmtId="0" fontId="9" fillId="10" borderId="34" applyAlignment="1" pivotButton="0" quotePrefix="0" xfId="0">
      <alignment horizontal="center" vertical="center" wrapText="1" readingOrder="1"/>
    </xf>
    <xf numFmtId="0" fontId="67" fillId="0" borderId="0" applyAlignment="1" pivotButton="0" quotePrefix="0" xfId="0">
      <alignment horizontal="left" vertical="bottom" readingOrder="1"/>
    </xf>
    <xf numFmtId="0" fontId="67" fillId="0" borderId="35" applyAlignment="1" pivotButton="0" quotePrefix="0" xfId="0">
      <alignment horizontal="left" vertical="bottom" readingOrder="1"/>
    </xf>
    <xf numFmtId="0" fontId="67" fillId="0" borderId="33" applyAlignment="1" pivotButton="0" quotePrefix="0" xfId="0">
      <alignment horizontal="left" vertical="bottom" readingOrder="1"/>
    </xf>
    <xf numFmtId="0" fontId="67" fillId="31" borderId="36" applyAlignment="1" pivotButton="0" quotePrefix="0" xfId="0">
      <alignment horizontal="center" vertical="center" readingOrder="1"/>
    </xf>
    <xf numFmtId="0" fontId="67" fillId="31" borderId="37" applyAlignment="1" pivotButton="0" quotePrefix="0" xfId="0">
      <alignment horizontal="center" vertical="center" readingOrder="1"/>
    </xf>
    <xf numFmtId="0" fontId="68" fillId="31" borderId="37" applyAlignment="1" pivotButton="0" quotePrefix="0" xfId="0">
      <alignment horizontal="center" vertical="center" readingOrder="1"/>
    </xf>
    <xf numFmtId="0" fontId="53" fillId="31" borderId="37" applyAlignment="1" pivotButton="0" quotePrefix="0" xfId="0">
      <alignment horizontal="center" vertical="center" readingOrder="1"/>
    </xf>
    <xf numFmtId="0" fontId="67" fillId="31" borderId="38" applyAlignment="1" pivotButton="0" quotePrefix="0" xfId="0">
      <alignment horizontal="center" vertical="center" readingOrder="1"/>
    </xf>
    <xf numFmtId="0" fontId="67" fillId="31" borderId="38" applyAlignment="1" pivotButton="0" quotePrefix="0" xfId="0">
      <alignment horizontal="left" vertical="bottom" readingOrder="1"/>
    </xf>
    <xf numFmtId="0" fontId="67" fillId="31" borderId="37" applyAlignment="1" pivotButton="0" quotePrefix="0" xfId="0">
      <alignment horizontal="left" vertical="bottom" readingOrder="1"/>
    </xf>
    <xf numFmtId="0" fontId="4" fillId="0" borderId="21" applyAlignment="1" pivotButton="0" quotePrefix="0" xfId="0">
      <alignment horizontal="center" vertical="top"/>
    </xf>
    <xf numFmtId="0" fontId="4" fillId="0" borderId="21" applyAlignment="1" pivotButton="0" quotePrefix="0" xfId="0">
      <alignment horizontal="general" vertical="center" wrapText="1"/>
    </xf>
    <xf numFmtId="165" fontId="4" fillId="0" borderId="21" applyAlignment="1" pivotButton="0" quotePrefix="0" xfId="0">
      <alignment horizontal="general" vertical="top"/>
    </xf>
    <xf numFmtId="0" fontId="12" fillId="0" borderId="0" applyAlignment="1" pivotButton="0" quotePrefix="0" xfId="0">
      <alignment horizontal="general" vertical="center" wrapText="1"/>
    </xf>
    <xf numFmtId="165" fontId="4" fillId="0" borderId="21" applyAlignment="1" pivotButton="0" quotePrefix="0" xfId="0">
      <alignment horizontal="center" vertical="top"/>
    </xf>
    <xf numFmtId="0" fontId="69" fillId="0" borderId="21" applyAlignment="1" pivotButton="0" quotePrefix="0" xfId="0">
      <alignment horizontal="general" vertical="top"/>
    </xf>
    <xf numFmtId="0" fontId="63" fillId="0" borderId="21" applyAlignment="1" pivotButton="0" quotePrefix="0" xfId="0">
      <alignment horizontal="general" vertical="center" wrapText="1"/>
    </xf>
    <xf numFmtId="0" fontId="42" fillId="0" borderId="21" applyAlignment="1" pivotButton="0" quotePrefix="0" xfId="0">
      <alignment horizontal="general" vertical="center" wrapText="1"/>
    </xf>
    <xf numFmtId="0" fontId="42" fillId="0" borderId="21" applyAlignment="1" pivotButton="0" quotePrefix="0" xfId="0">
      <alignment horizontal="general" vertical="top"/>
    </xf>
    <xf numFmtId="171" fontId="4" fillId="0" borderId="21" applyAlignment="1" pivotButton="0" quotePrefix="0" xfId="0">
      <alignment horizontal="general" vertical="top"/>
    </xf>
    <xf numFmtId="0" fontId="48" fillId="0" borderId="21" applyAlignment="1" pivotButton="0" quotePrefix="0" xfId="0">
      <alignment horizontal="general" vertical="center" wrapText="1"/>
    </xf>
    <xf numFmtId="0" fontId="42" fillId="2" borderId="0" applyAlignment="1" pivotButton="0" quotePrefix="0" xfId="0">
      <alignment horizontal="left" vertical="bottom"/>
    </xf>
    <xf numFmtId="0" fontId="0" fillId="0" borderId="0" applyAlignment="1" pivotButton="0" quotePrefix="0" xfId="0">
      <alignment horizontal="general" vertical="center"/>
    </xf>
    <xf numFmtId="0" fontId="23" fillId="17" borderId="6" applyAlignment="1" pivotButton="0" quotePrefix="0" xfId="0">
      <alignment horizontal="center" vertical="bottom"/>
    </xf>
    <xf numFmtId="0" fontId="23" fillId="17" borderId="7" applyAlignment="1" pivotButton="0" quotePrefix="0" xfId="0">
      <alignment horizontal="center" vertical="bottom"/>
    </xf>
    <xf numFmtId="0" fontId="23" fillId="17" borderId="1" applyAlignment="1" pivotButton="0" quotePrefix="0" xfId="0">
      <alignment horizontal="center" vertical="bottom"/>
    </xf>
    <xf numFmtId="0" fontId="15" fillId="0" borderId="12" applyAlignment="1" pivotButton="0" quotePrefix="0" xfId="0">
      <alignment horizontal="general" vertical="bottom"/>
    </xf>
    <xf numFmtId="0" fontId="15" fillId="0" borderId="2" applyAlignment="1" pivotButton="0" quotePrefix="0" xfId="0">
      <alignment horizontal="general" vertical="bottom"/>
    </xf>
    <xf numFmtId="0" fontId="43" fillId="0" borderId="2" applyAlignment="1" pivotButton="0" quotePrefix="0" xfId="0">
      <alignment horizontal="general" vertical="bottom"/>
    </xf>
    <xf numFmtId="0" fontId="17" fillId="0" borderId="0" applyAlignment="1" pivotButton="0" quotePrefix="0" xfId="0">
      <alignment horizontal="general" vertical="top" wrapText="1"/>
    </xf>
    <xf numFmtId="0" fontId="70" fillId="0" borderId="0" applyAlignment="1" pivotButton="0" quotePrefix="0" xfId="0">
      <alignment horizontal="general" vertical="top" wrapText="1"/>
    </xf>
    <xf numFmtId="0" fontId="4" fillId="0" borderId="12" applyAlignment="1" pivotButton="0" quotePrefix="0" xfId="0">
      <alignment horizontal="general" vertical="bottom"/>
    </xf>
    <xf numFmtId="0" fontId="15" fillId="0" borderId="0" applyAlignment="1" pivotButton="0" quotePrefix="0" xfId="0">
      <alignment horizontal="left" vertical="center" wrapText="1"/>
    </xf>
    <xf numFmtId="0" fontId="8" fillId="0" borderId="0"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35" fillId="0" borderId="0" applyAlignment="1" pivotButton="0" quotePrefix="0" xfId="0">
      <alignment horizontal="center" vertical="top"/>
    </xf>
    <xf numFmtId="0" fontId="4" fillId="0" borderId="0" applyAlignment="1" pivotButton="0" quotePrefix="0" xfId="0">
      <alignment horizontal="general" vertical="top"/>
    </xf>
    <xf numFmtId="0" fontId="36" fillId="2" borderId="10" applyAlignment="1" pivotButton="0" quotePrefix="0" xfId="0">
      <alignment horizontal="general" vertical="top"/>
    </xf>
    <xf numFmtId="0" fontId="4" fillId="2" borderId="18" applyAlignment="1" pivotButton="0" quotePrefix="0" xfId="0">
      <alignment horizontal="general" vertical="top"/>
    </xf>
    <xf numFmtId="0" fontId="4" fillId="2" borderId="0" applyAlignment="1" pivotButton="0" quotePrefix="0" xfId="0">
      <alignment horizontal="general" vertical="top"/>
    </xf>
    <xf numFmtId="0" fontId="4" fillId="2" borderId="19" applyAlignment="1" pivotButton="0" quotePrefix="0" xfId="0">
      <alignment horizontal="general" vertical="top"/>
    </xf>
    <xf numFmtId="0" fontId="4" fillId="0" borderId="20" applyAlignment="1" pivotButton="0" quotePrefix="0" xfId="0">
      <alignment horizontal="general" vertical="top"/>
    </xf>
    <xf numFmtId="0" fontId="37" fillId="2" borderId="21" applyAlignment="1" pivotButton="0" quotePrefix="0" xfId="0">
      <alignment horizontal="general" vertical="top"/>
    </xf>
    <xf numFmtId="0" fontId="0" fillId="0" borderId="48" pivotButton="0" quotePrefix="0" xfId="0"/>
    <xf numFmtId="0" fontId="0" fillId="0" borderId="49" pivotButton="0" quotePrefix="0" xfId="0"/>
    <xf numFmtId="0" fontId="4" fillId="0" borderId="22" applyAlignment="1" pivotButton="0" quotePrefix="0" xfId="0">
      <alignment horizontal="general" vertical="top"/>
    </xf>
    <xf numFmtId="0" fontId="38" fillId="0" borderId="23" applyAlignment="1" pivotButton="0" quotePrefix="0" xfId="0">
      <alignment horizontal="general" vertical="top"/>
    </xf>
    <xf numFmtId="165" fontId="39" fillId="0" borderId="21" applyAlignment="1" pivotButton="0" quotePrefix="0" xfId="0">
      <alignment horizontal="left" vertical="top"/>
    </xf>
    <xf numFmtId="0" fontId="40" fillId="0" borderId="21" applyAlignment="1" pivotButton="0" quotePrefix="0" xfId="0">
      <alignment horizontal="general" vertical="top"/>
    </xf>
    <xf numFmtId="0" fontId="4" fillId="0" borderId="24" applyAlignment="1" pivotButton="0" quotePrefix="0" xfId="0">
      <alignment horizontal="general" vertical="top"/>
    </xf>
    <xf numFmtId="0" fontId="4" fillId="0" borderId="25" applyAlignment="1" pivotButton="0" quotePrefix="0" xfId="0">
      <alignment horizontal="general" vertical="top"/>
    </xf>
    <xf numFmtId="0" fontId="4" fillId="0" borderId="21" applyAlignment="1" pivotButton="0" quotePrefix="0" xfId="0">
      <alignment horizontal="general" vertical="top"/>
    </xf>
    <xf numFmtId="0" fontId="38" fillId="0" borderId="23" applyAlignment="1" pivotButton="0" quotePrefix="0" xfId="0">
      <alignment horizontal="general" vertical="top" wrapText="1"/>
    </xf>
    <xf numFmtId="0" fontId="41" fillId="0" borderId="21" applyAlignment="1" pivotButton="0" quotePrefix="0" xfId="0">
      <alignment horizontal="general" vertical="top"/>
    </xf>
    <xf numFmtId="49" fontId="40" fillId="0" borderId="21" applyAlignment="1" pivotButton="0" quotePrefix="0" xfId="0">
      <alignment horizontal="general" vertical="top"/>
    </xf>
    <xf numFmtId="0" fontId="42" fillId="0" borderId="25" applyAlignment="1" pivotButton="0" quotePrefix="0" xfId="0">
      <alignment horizontal="general" vertical="top"/>
    </xf>
    <xf numFmtId="0" fontId="4" fillId="0" borderId="15" applyAlignment="1" pivotButton="0" quotePrefix="0" xfId="0">
      <alignment horizontal="general" vertical="top"/>
    </xf>
    <xf numFmtId="0" fontId="4" fillId="0" borderId="26" applyAlignment="1" pivotButton="0" quotePrefix="0" xfId="0">
      <alignment horizontal="general" vertical="top"/>
    </xf>
    <xf numFmtId="0" fontId="4" fillId="2" borderId="15" applyAlignment="1" pivotButton="0" quotePrefix="0" xfId="0">
      <alignment horizontal="general" vertical="top"/>
    </xf>
    <xf numFmtId="0" fontId="4" fillId="0" borderId="27" applyAlignment="1" pivotButton="0" quotePrefix="0" xfId="0">
      <alignment horizontal="general" vertical="top"/>
    </xf>
    <xf numFmtId="0" fontId="4" fillId="2" borderId="28" applyAlignment="1" pivotButton="0" quotePrefix="0" xfId="0">
      <alignment horizontal="general" vertical="top"/>
    </xf>
    <xf numFmtId="0" fontId="43" fillId="0" borderId="0" applyAlignment="1" pivotButton="0" quotePrefix="0" xfId="0">
      <alignment horizontal="general" vertical="bottom"/>
    </xf>
    <xf numFmtId="0" fontId="43" fillId="0" borderId="29" applyAlignment="1" pivotButton="0" quotePrefix="0" xfId="0">
      <alignment horizontal="general" vertical="bottom"/>
    </xf>
    <xf numFmtId="0" fontId="44" fillId="0" borderId="0" applyAlignment="1" pivotButton="0" quotePrefix="0" xfId="0">
      <alignment horizontal="general" vertical="bottom"/>
    </xf>
    <xf numFmtId="0" fontId="40" fillId="0" borderId="0" applyAlignment="1" pivotButton="0" quotePrefix="0" xfId="0">
      <alignment horizontal="general" vertical="top" wrapText="1"/>
    </xf>
    <xf numFmtId="0" fontId="45" fillId="7" borderId="21" applyAlignment="1" pivotButton="0" quotePrefix="0" xfId="0">
      <alignment horizontal="center" vertical="top" wrapText="1"/>
    </xf>
    <xf numFmtId="168" fontId="40" fillId="0" borderId="0" applyAlignment="1" pivotButton="0" quotePrefix="0" xfId="0">
      <alignment horizontal="general" vertical="top" wrapText="1"/>
    </xf>
    <xf numFmtId="0" fontId="46" fillId="0" borderId="0" applyAlignment="1" pivotButton="0" quotePrefix="0" xfId="0">
      <alignment horizontal="general" vertical="top" wrapText="1"/>
    </xf>
    <xf numFmtId="169" fontId="39" fillId="0" borderId="21" applyAlignment="1" pivotButton="0" quotePrefix="0" xfId="0">
      <alignment horizontal="center" vertical="bottom"/>
    </xf>
    <xf numFmtId="0" fontId="39" fillId="0" borderId="21" applyAlignment="1" pivotButton="0" quotePrefix="0" xfId="0">
      <alignment horizontal="center" vertical="bottom"/>
    </xf>
    <xf numFmtId="0" fontId="39" fillId="0" borderId="21" applyAlignment="1" pivotButton="0" quotePrefix="0" xfId="0">
      <alignment horizontal="general" vertical="bottom"/>
    </xf>
    <xf numFmtId="168" fontId="43" fillId="0" borderId="0" applyAlignment="1" pivotButton="0" quotePrefix="0" xfId="0">
      <alignment horizontal="general" vertical="bottom"/>
    </xf>
    <xf numFmtId="0" fontId="15" fillId="0" borderId="0" applyAlignment="1" pivotButton="0" quotePrefix="0" xfId="0">
      <alignment horizontal="general" vertical="top"/>
    </xf>
    <xf numFmtId="169" fontId="43" fillId="0" borderId="21" applyAlignment="1" pivotButton="0" quotePrefix="0" xfId="0">
      <alignment horizontal="general" vertical="bottom"/>
    </xf>
    <xf numFmtId="49" fontId="43" fillId="0" borderId="21" applyAlignment="1" pivotButton="0" quotePrefix="0" xfId="0">
      <alignment horizontal="general" vertical="bottom"/>
    </xf>
    <xf numFmtId="0" fontId="43" fillId="0" borderId="21" applyAlignment="1" pivotButton="0" quotePrefix="0" xfId="0">
      <alignment horizontal="general" vertical="bottom"/>
    </xf>
    <xf numFmtId="169" fontId="43" fillId="2" borderId="0" applyAlignment="1" pivotButton="0" quotePrefix="0" xfId="0">
      <alignment horizontal="general" vertical="bottom"/>
    </xf>
    <xf numFmtId="49" fontId="43" fillId="2" borderId="0" applyAlignment="1" pivotButton="0" quotePrefix="0" xfId="0">
      <alignment horizontal="general" vertical="bottom"/>
    </xf>
    <xf numFmtId="0" fontId="43" fillId="2" borderId="0" applyAlignment="1" pivotButton="0" quotePrefix="0" xfId="0">
      <alignment horizontal="general" vertical="bottom"/>
    </xf>
    <xf numFmtId="0" fontId="8" fillId="8" borderId="21" applyAlignment="1" pivotButton="0" quotePrefix="0" xfId="0">
      <alignment horizontal="general" vertical="top" wrapText="1"/>
    </xf>
    <xf numFmtId="0" fontId="4" fillId="2" borderId="21" applyAlignment="1" pivotButton="0" quotePrefix="0" xfId="0">
      <alignment horizontal="general" vertical="top" wrapText="1"/>
    </xf>
    <xf numFmtId="0" fontId="4" fillId="0" borderId="21" applyAlignment="1" pivotButton="0" quotePrefix="0" xfId="0">
      <alignment horizontal="general" vertical="top" wrapText="1"/>
    </xf>
    <xf numFmtId="0" fontId="4" fillId="0" borderId="0" applyAlignment="1" pivotButton="0" quotePrefix="0" xfId="0">
      <alignment horizontal="general" vertical="top" wrapText="1"/>
    </xf>
    <xf numFmtId="0" fontId="4" fillId="2" borderId="21" applyAlignment="1" pivotButton="0" quotePrefix="0" xfId="0">
      <alignment horizontal="general" vertical="center" wrapText="1"/>
    </xf>
    <xf numFmtId="0" fontId="4" fillId="2" borderId="21" applyAlignment="1" pivotButton="0" quotePrefix="0" xfId="0">
      <alignment horizontal="left" vertical="top" wrapText="1"/>
    </xf>
    <xf numFmtId="0" fontId="8" fillId="9" borderId="21" applyAlignment="1" pivotButton="0" quotePrefix="0" xfId="0">
      <alignment horizontal="center" vertical="top" wrapText="1"/>
    </xf>
    <xf numFmtId="0" fontId="4" fillId="2" borderId="30" applyAlignment="1" pivotButton="0" quotePrefix="0" xfId="0">
      <alignment horizontal="center" vertical="top" wrapText="1"/>
    </xf>
    <xf numFmtId="0" fontId="4" fillId="2" borderId="21" applyAlignment="1" pivotButton="0" quotePrefix="0" xfId="0">
      <alignment horizontal="center" vertical="top" wrapText="1"/>
    </xf>
    <xf numFmtId="0" fontId="4" fillId="0" borderId="30" applyAlignment="1" pivotButton="0" quotePrefix="0" xfId="0">
      <alignment horizontal="general" vertical="top" wrapText="1"/>
    </xf>
    <xf numFmtId="0" fontId="18" fillId="10" borderId="6" applyAlignment="1" pivotButton="0" quotePrefix="0" xfId="0">
      <alignment horizontal="center" vertical="top" wrapText="1"/>
    </xf>
    <xf numFmtId="0" fontId="9" fillId="10" borderId="6" applyAlignment="1" pivotButton="0" quotePrefix="0" xfId="0">
      <alignment horizontal="center" vertical="top" wrapText="1"/>
    </xf>
    <xf numFmtId="0" fontId="9" fillId="11" borderId="6" applyAlignment="1" pivotButton="0" quotePrefix="0" xfId="0">
      <alignment horizontal="center" vertical="top" wrapText="1"/>
    </xf>
    <xf numFmtId="0" fontId="0" fillId="0" borderId="8" pivotButton="0" quotePrefix="0" xfId="0"/>
    <xf numFmtId="0" fontId="0" fillId="0" borderId="7" pivotButton="0" quotePrefix="0" xfId="0"/>
    <xf numFmtId="0" fontId="4" fillId="2" borderId="0" applyAlignment="1" pivotButton="0" quotePrefix="0" xfId="0">
      <alignment horizontal="general" vertical="top" wrapText="1"/>
    </xf>
    <xf numFmtId="0" fontId="9" fillId="11" borderId="2" applyAlignment="1" pivotButton="0" quotePrefix="0" xfId="0">
      <alignment horizontal="center" vertical="top" wrapText="1"/>
    </xf>
    <xf numFmtId="0" fontId="0" fillId="0" borderId="51" pivotButton="0" quotePrefix="0" xfId="0"/>
    <xf numFmtId="0" fontId="4" fillId="2" borderId="0" applyAlignment="1" pivotButton="0" quotePrefix="0" xfId="0">
      <alignment horizontal="center" vertical="top" wrapText="1"/>
    </xf>
    <xf numFmtId="0" fontId="0" fillId="0" borderId="52" pivotButton="0" quotePrefix="0" xfId="0"/>
    <xf numFmtId="0" fontId="9" fillId="11" borderId="3" applyAlignment="1" pivotButton="0" quotePrefix="0" xfId="0">
      <alignment horizontal="center" vertical="top" wrapText="1"/>
    </xf>
    <xf numFmtId="0" fontId="0" fillId="0" borderId="2" pivotButton="0" quotePrefix="0" xfId="0"/>
    <xf numFmtId="0" fontId="8" fillId="5" borderId="21" applyAlignment="1" pivotButton="0" quotePrefix="0" xfId="0">
      <alignment horizontal="general" vertical="top" wrapText="1"/>
    </xf>
    <xf numFmtId="0" fontId="4" fillId="5" borderId="21" applyAlignment="1" pivotButton="0" quotePrefix="0" xfId="0">
      <alignment horizontal="general" vertical="top" wrapText="1"/>
    </xf>
    <xf numFmtId="0" fontId="8" fillId="12" borderId="21" applyAlignment="1" pivotButton="0" quotePrefix="0" xfId="0">
      <alignment horizontal="general" vertical="top" wrapText="1"/>
    </xf>
    <xf numFmtId="0" fontId="4" fillId="12" borderId="21" applyAlignment="1" pivotButton="0" quotePrefix="0" xfId="0">
      <alignment horizontal="general" vertical="top" wrapText="1"/>
    </xf>
    <xf numFmtId="0" fontId="12" fillId="2" borderId="21" applyAlignment="1" pivotButton="0" quotePrefix="0" xfId="0">
      <alignment horizontal="general" vertical="top" wrapText="1"/>
    </xf>
    <xf numFmtId="0" fontId="4" fillId="0" borderId="21" applyAlignment="1" pivotButton="0" quotePrefix="0" xfId="0">
      <alignment horizontal="left" vertical="top" wrapText="1"/>
    </xf>
    <xf numFmtId="0" fontId="47" fillId="0" borderId="21" applyAlignment="1" pivotButton="0" quotePrefix="0" xfId="0">
      <alignment horizontal="general" vertical="top" wrapText="1"/>
    </xf>
    <xf numFmtId="0" fontId="15" fillId="0" borderId="21" applyAlignment="1" pivotButton="0" quotePrefix="0" xfId="0">
      <alignment horizontal="general" vertical="top"/>
    </xf>
    <xf numFmtId="0" fontId="15" fillId="0" borderId="21" applyAlignment="1" pivotButton="0" quotePrefix="0" xfId="0">
      <alignment horizontal="general" vertical="top" wrapText="1"/>
    </xf>
    <xf numFmtId="0" fontId="8" fillId="13" borderId="21" applyAlignment="1" pivotButton="0" quotePrefix="0" xfId="0">
      <alignment horizontal="general" vertical="top" wrapText="1"/>
    </xf>
    <xf numFmtId="0" fontId="4" fillId="13" borderId="21" applyAlignment="1" pivotButton="0" quotePrefix="0" xfId="0">
      <alignment horizontal="general" vertical="top" wrapText="1"/>
    </xf>
    <xf numFmtId="0" fontId="16" fillId="0" borderId="21" applyAlignment="1" pivotButton="0" quotePrefix="0" xfId="0">
      <alignment horizontal="general" vertical="top" wrapText="1"/>
    </xf>
    <xf numFmtId="0" fontId="8" fillId="14" borderId="21" applyAlignment="1" pivotButton="0" quotePrefix="0" xfId="0">
      <alignment horizontal="general" vertical="top" wrapText="1"/>
    </xf>
    <xf numFmtId="0" fontId="4" fillId="14" borderId="21" applyAlignment="1" pivotButton="0" quotePrefix="0" xfId="0">
      <alignment horizontal="general" vertical="top" wrapText="1"/>
    </xf>
    <xf numFmtId="0" fontId="16" fillId="0" borderId="0" applyAlignment="1" pivotButton="0" quotePrefix="0" xfId="0">
      <alignment horizontal="general" vertical="top" wrapText="1"/>
    </xf>
    <xf numFmtId="0" fontId="4" fillId="0" borderId="0" applyAlignment="1" pivotButton="0" quotePrefix="0" xfId="0">
      <alignment horizontal="center" vertical="center"/>
    </xf>
    <xf numFmtId="0" fontId="8" fillId="5" borderId="21" applyAlignment="1" pivotButton="0" quotePrefix="0" xfId="0">
      <alignment horizontal="center" vertical="center"/>
    </xf>
    <xf numFmtId="0" fontId="8" fillId="5" borderId="23" applyAlignment="1" pivotButton="0" quotePrefix="0" xfId="0">
      <alignment horizontal="center" vertical="center"/>
    </xf>
    <xf numFmtId="0" fontId="4" fillId="0" borderId="0" applyAlignment="1" pivotButton="0" quotePrefix="0" xfId="0">
      <alignment horizontal="general" vertical="center"/>
    </xf>
    <xf numFmtId="0" fontId="4" fillId="0" borderId="21" applyAlignment="1" pivotButton="0" quotePrefix="0" xfId="0">
      <alignment horizontal="general" vertical="center"/>
    </xf>
    <xf numFmtId="0" fontId="0" fillId="0" borderId="54" pivotButton="0" quotePrefix="0" xfId="0"/>
    <xf numFmtId="0" fontId="0" fillId="0" borderId="55" pivotButton="0" quotePrefix="0" xfId="0"/>
    <xf numFmtId="0" fontId="4" fillId="0" borderId="30" applyAlignment="1" pivotButton="0" quotePrefix="0" xfId="0">
      <alignment horizontal="general" vertical="center"/>
    </xf>
    <xf numFmtId="0" fontId="4" fillId="0" borderId="23" applyAlignment="1" pivotButton="0" quotePrefix="0" xfId="0">
      <alignment horizontal="general" vertical="center"/>
    </xf>
    <xf numFmtId="0" fontId="12" fillId="2" borderId="0" applyAlignment="1" pivotButton="0" quotePrefix="0" xfId="0">
      <alignment horizontal="left" vertical="bottom"/>
    </xf>
    <xf numFmtId="0" fontId="71" fillId="32" borderId="58" applyAlignment="1" pivotButton="0" quotePrefix="0" xfId="0">
      <alignment horizontal="center" vertical="top" wrapText="1"/>
    </xf>
    <xf numFmtId="0" fontId="0" fillId="0" borderId="11" pivotButton="0" quotePrefix="0" xfId="0"/>
    <xf numFmtId="0" fontId="0" fillId="0" borderId="12" pivotButton="0" quotePrefix="0" xfId="0"/>
    <xf numFmtId="0" fontId="72" fillId="33" borderId="59" applyAlignment="1" pivotButton="0" quotePrefix="0" xfId="0">
      <alignment horizontal="general" vertical="top" wrapText="1"/>
    </xf>
    <xf numFmtId="0" fontId="72" fillId="34" borderId="59" applyAlignment="1" pivotButton="0" quotePrefix="0" xfId="0">
      <alignment horizontal="general" vertical="top" wrapText="1"/>
    </xf>
    <xf numFmtId="0" fontId="73" fillId="35" borderId="59" applyAlignment="1" pivotButton="0" quotePrefix="0" xfId="0">
      <alignment horizontal="general" vertical="top" wrapText="1"/>
    </xf>
    <xf numFmtId="0" fontId="72" fillId="36" borderId="60" applyAlignment="1" pivotButton="0" quotePrefix="0" xfId="0">
      <alignment horizontal="general" vertical="top"/>
    </xf>
    <xf numFmtId="9" fontId="73" fillId="36" borderId="60"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9">
    <dxf>
      <font>
        <color rgb="FF006100"/>
      </font>
      <fill>
        <patternFill>
          <bgColor rgb="FFC6EFCE"/>
        </patternFill>
      </fill>
    </dxf>
    <dxf>
      <fill>
        <patternFill>
          <bgColor rgb="FFFFC7CE"/>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1A3438"/>
          <bgColor rgb="FF000000"/>
        </patternFill>
      </fill>
    </dxf>
    <dxf>
      <fill>
        <patternFill patternType="solid">
          <fgColor rgb="FFA4C2F4"/>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ECECEC"/>
          <bgColor rgb="FF000000"/>
        </patternFill>
      </fill>
    </dxf>
    <dxf>
      <fill>
        <patternFill patternType="solid">
          <fgColor rgb="FF9900FF"/>
          <bgColor rgb="FF000000"/>
        </patternFill>
      </fill>
    </dxf>
    <dxf>
      <font>
        <b val="1"/>
        <color rgb="FF000000"/>
      </font>
      <fill>
        <patternFill>
          <bgColor rgb="FFFF9900"/>
        </patternFill>
      </fill>
    </dxf>
    <dxf>
      <font>
        <b val="1"/>
        <color rgb="FF000000"/>
      </font>
      <fill>
        <patternFill>
          <bgColor rgb="FFBF9000"/>
        </patternFill>
      </fill>
    </dxf>
    <dxf>
      <font>
        <b val="1"/>
        <color rgb="FF000000"/>
      </font>
      <fill>
        <patternFill>
          <bgColor rgb="FF999999"/>
        </patternFill>
      </fill>
    </dxf>
    <dxf>
      <font>
        <b val="1"/>
        <color rgb="FF000000"/>
      </font>
      <fill>
        <patternFill>
          <bgColor rgb="FFF1C232"/>
        </patternFill>
      </fill>
    </dxf>
    <dxf>
      <font>
        <color rgb="FF000000"/>
      </font>
      <fill>
        <patternFill>
          <bgColor rgb="FF00FF00"/>
        </patternFill>
      </fill>
    </dxf>
    <dxf>
      <font>
        <b val="1"/>
        <color rgb="FF000000"/>
      </font>
      <fill>
        <patternFill>
          <bgColor rgb="FFFF0000"/>
        </patternFill>
      </fill>
    </dxf>
    <dxf>
      <font>
        <b val="1"/>
        <color rgb="FF000000"/>
      </font>
      <fill>
        <patternFill>
          <bgColor rgb="FF9FC5E8"/>
        </patternFill>
      </fill>
    </dxf>
    <dxf>
      <font>
        <b val="1"/>
        <color rgb="FF000000"/>
      </font>
      <fill>
        <patternFill>
          <bgColor rgb="FFB6D7A8"/>
        </patternFill>
      </fill>
    </dxf>
    <dxf>
      <fill>
        <patternFill>
          <bgColor rgb="FFB7E1CD"/>
        </patternFill>
      </fill>
    </dxf>
    <dxf>
      <fill>
        <patternFill>
          <bgColor rgb="FFF7B4AE"/>
        </patternFill>
      </fill>
    </dxf>
    <dxf>
      <fill>
        <patternFill patternType="solid">
          <fgColor rgb="FFC9DAF8"/>
          <bgColor rgb="FF000000"/>
        </patternFill>
      </fill>
    </dxf>
    <dxf>
      <fill>
        <patternFill patternType="solid">
          <fgColor rgb="FFFFE599"/>
          <bgColor rgb="FF000000"/>
        </patternFill>
      </fill>
    </dxf>
    <dxf>
      <fill>
        <patternFill patternType="solid">
          <fgColor rgb="FF7AD592"/>
          <bgColor rgb="FF000000"/>
        </patternFill>
      </fill>
    </dxf>
    <dxf>
      <fill>
        <patternFill patternType="solid">
          <fgColor rgb="FF363636"/>
          <bgColor rgb="FF000000"/>
        </patternFill>
      </fill>
    </dxf>
    <dxf>
      <fill>
        <patternFill patternType="solid">
          <fgColor rgb="FF9BC2E6"/>
          <bgColor rgb="FF000000"/>
        </patternFill>
      </fill>
    </dxf>
    <dxf>
      <fill>
        <patternFill patternType="solid">
          <fgColor rgb="FFEFEFEF"/>
          <bgColor rgb="FF000000"/>
        </patternFill>
      </fill>
    </dxf>
    <dxf>
      <fill>
        <patternFill patternType="solid">
          <fgColor rgb="FF666666"/>
          <bgColor rgb="FF000000"/>
        </patternFill>
      </fill>
    </dxf>
    <dxf>
      <fill>
        <patternFill patternType="solid">
          <fgColor rgb="FF2850A2"/>
          <bgColor rgb="FF000000"/>
        </patternFill>
      </fill>
    </dxf>
  </dxfs>
  <colors>
    <indexedColors>
      <rgbColor rgb="FF000000"/>
      <rgbColor rgb="FFFFFFFF"/>
      <rgbColor rgb="FFFF0000"/>
      <rgbColor rgb="FF00FF00"/>
      <rgbColor rgb="FF0000FF"/>
      <rgbColor rgb="FFFFFF00"/>
      <rgbColor rgb="FFFFC7CE"/>
      <rgbColor rgb="FF9BC2E6"/>
      <rgbColor rgb="FFD9D9D9"/>
      <rgbColor rgb="FF006100"/>
      <rgbColor rgb="FF000080"/>
      <rgbColor rgb="FFBF9000"/>
      <rgbColor rgb="FF9900FF"/>
      <rgbColor rgb="FF4A86E8"/>
      <rgbColor rgb="FFB7B7B7"/>
      <rgbColor rgb="FF666666"/>
      <rgbColor rgb="FFA4C2F4"/>
      <rgbColor rgb="FFCCCCCC"/>
      <rgbColor rgb="FFFEF1CC"/>
      <rgbColor rgb="FFCFE2F3"/>
      <rgbColor rgb="FFB7E1CD"/>
      <rgbColor rgb="FFF6B26B"/>
      <rgbColor rgb="FF1155CC"/>
      <rgbColor rgb="FFC9DAF8"/>
      <rgbColor rgb="FFFCE5CD"/>
      <rgbColor rgb="FFD8D8D8"/>
      <rgbColor rgb="FFFFD966"/>
      <rgbColor rgb="FF93C47D"/>
      <rgbColor rgb="FFB6D7A8"/>
      <rgbColor rgb="FFD0E0E3"/>
      <rgbColor rgb="FF76A5AF"/>
      <rgbColor rgb="FFECECEC"/>
      <rgbColor rgb="FF1DA1F2"/>
      <rgbColor rgb="FFEFEFEF"/>
      <rgbColor rgb="FFC6EFCE"/>
      <rgbColor rgb="FFFFE599"/>
      <rgbColor rgb="FF9FC5E8"/>
      <rgbColor rgb="FFDFA5B0"/>
      <rgbColor rgb="FFF7B4AE"/>
      <rgbColor rgb="FFF9CB9C"/>
      <rgbColor rgb="FF4285F4"/>
      <rgbColor rgb="FF7AD592"/>
      <rgbColor rgb="FF92D050"/>
      <rgbColor rgb="FFF4C225"/>
      <rgbColor rgb="FFFF9900"/>
      <rgbColor rgb="FFFF9700"/>
      <rgbColor rgb="FF7968A6"/>
      <rgbColor rgb="FF999999"/>
      <rgbColor rgb="FF17373C"/>
      <rgbColor rgb="FF64A84F"/>
      <rgbColor rgb="FF2C2C4D"/>
      <rgbColor rgb="FF1A1A1A"/>
      <rgbColor rgb="FFCD3707"/>
      <rgbColor rgb="FFFFC499"/>
      <rgbColor rgb="FF2850A2"/>
      <rgbColor rgb="FF36363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FFFFFF"/>
    <outlinePr summaryBelow="1" summaryRight="1"/>
    <pageSetUpPr fitToPage="0"/>
  </sheetPr>
  <dimension ref="A1:Z22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63" customWidth="1" style="407" min="1" max="1"/>
    <col width="17.13" customWidth="1" style="407" min="2" max="2"/>
    <col width="17.88" customWidth="1" style="407" min="3" max="3"/>
    <col width="62.88" customWidth="1" style="407" min="4" max="4"/>
    <col width="16.89" customWidth="1" style="407" min="5" max="5"/>
  </cols>
  <sheetData>
    <row r="1" ht="16.5" customHeight="1" s="408">
      <c r="A1" s="409" t="n"/>
      <c r="B1" s="409" t="n"/>
      <c r="C1" s="409" t="n"/>
      <c r="D1" s="409" t="n"/>
      <c r="E1" s="410" t="n"/>
      <c r="F1" s="410" t="n"/>
      <c r="G1" s="410" t="n"/>
      <c r="H1" s="410" t="n"/>
      <c r="I1" s="410" t="n"/>
      <c r="J1" s="410" t="n"/>
      <c r="K1" s="410" t="n"/>
      <c r="L1" s="410" t="n"/>
      <c r="M1" s="410" t="n"/>
      <c r="N1" s="410" t="n"/>
      <c r="O1" s="410" t="n"/>
      <c r="P1" s="410" t="n"/>
      <c r="Q1" s="410" t="n"/>
      <c r="R1" s="410" t="n"/>
      <c r="S1" s="410" t="n"/>
      <c r="T1" s="410" t="n"/>
      <c r="U1" s="410" t="n"/>
      <c r="V1" s="410" t="n"/>
      <c r="W1" s="410" t="n"/>
      <c r="X1" s="410" t="n"/>
      <c r="Y1" s="410" t="n"/>
    </row>
    <row r="2" ht="15.75" customHeight="1" s="408">
      <c r="A2" s="410" t="n"/>
      <c r="B2" s="411" t="n"/>
      <c r="C2" s="412" t="n"/>
      <c r="D2" s="413" t="n"/>
      <c r="E2" s="410" t="n"/>
      <c r="F2" s="410" t="n"/>
      <c r="G2" s="410" t="n"/>
      <c r="H2" s="410" t="n"/>
      <c r="I2" s="410" t="n"/>
      <c r="J2" s="410" t="n"/>
      <c r="K2" s="410" t="n"/>
      <c r="L2" s="410" t="n"/>
      <c r="M2" s="410" t="n"/>
      <c r="N2" s="410" t="n"/>
      <c r="O2" s="410" t="n"/>
      <c r="P2" s="410" t="n"/>
      <c r="Q2" s="410" t="n"/>
      <c r="R2" s="410" t="n"/>
      <c r="S2" s="410" t="n"/>
      <c r="T2" s="410" t="n"/>
      <c r="U2" s="410" t="n"/>
      <c r="V2" s="410" t="n"/>
      <c r="W2" s="410" t="n"/>
      <c r="X2" s="410" t="n"/>
      <c r="Y2" s="410" t="n"/>
    </row>
    <row r="3" ht="16.5" customHeight="1" s="408">
      <c r="A3" s="410" t="n"/>
      <c r="B3" s="410" t="n"/>
      <c r="C3" s="410" t="n"/>
      <c r="D3" s="414" t="n"/>
      <c r="E3" s="415" t="n"/>
      <c r="F3" s="415" t="n"/>
      <c r="G3" s="410" t="n"/>
      <c r="H3" s="410" t="n"/>
      <c r="I3" s="410" t="n"/>
      <c r="J3" s="410" t="n"/>
      <c r="K3" s="410" t="n"/>
      <c r="L3" s="410" t="n"/>
      <c r="M3" s="410" t="n"/>
      <c r="N3" s="410" t="n"/>
      <c r="O3" s="410" t="n"/>
      <c r="P3" s="410" t="n"/>
      <c r="Q3" s="410" t="n"/>
      <c r="R3" s="410" t="n"/>
      <c r="S3" s="410" t="n"/>
      <c r="T3" s="410" t="n"/>
      <c r="U3" s="410" t="n"/>
      <c r="V3" s="410" t="n"/>
      <c r="W3" s="410" t="n"/>
      <c r="X3" s="410" t="n"/>
      <c r="Y3" s="410" t="n"/>
    </row>
    <row r="4" ht="15.75" customHeight="1" s="408">
      <c r="A4" s="410" t="n"/>
      <c r="B4" s="416" t="inlineStr">
        <is>
          <t>ParrotEdu App - Test Case</t>
        </is>
      </c>
      <c r="C4" s="417" t="n"/>
      <c r="D4" s="418" t="n"/>
      <c r="E4" s="419" t="n"/>
      <c r="F4" s="419" t="n"/>
      <c r="G4" s="410" t="n"/>
      <c r="H4" s="410" t="n"/>
      <c r="I4" s="410" t="n"/>
      <c r="J4" s="410" t="n"/>
      <c r="K4" s="410" t="n"/>
      <c r="L4" s="410" t="n"/>
      <c r="M4" s="410" t="n"/>
      <c r="N4" s="410" t="n"/>
      <c r="O4" s="410" t="n"/>
      <c r="P4" s="410" t="n"/>
      <c r="Q4" s="410" t="n"/>
      <c r="R4" s="410" t="n"/>
      <c r="S4" s="410" t="n"/>
      <c r="T4" s="410" t="n"/>
      <c r="U4" s="410" t="n"/>
      <c r="V4" s="410" t="n"/>
      <c r="W4" s="410" t="n"/>
      <c r="X4" s="410" t="n"/>
      <c r="Y4" s="410" t="n"/>
    </row>
    <row r="5" ht="16.5" customHeight="1" s="408">
      <c r="A5" s="410" t="n"/>
      <c r="B5" s="420" t="inlineStr">
        <is>
          <t>Initialized Date</t>
        </is>
      </c>
      <c r="C5" s="421" t="n"/>
      <c r="D5" s="418" t="n"/>
      <c r="E5" s="419" t="n"/>
      <c r="F5" s="419" t="n"/>
      <c r="G5" s="410" t="n"/>
      <c r="H5" s="410" t="n"/>
      <c r="I5" s="410" t="n"/>
      <c r="J5" s="410" t="n"/>
      <c r="K5" s="410" t="n"/>
      <c r="L5" s="410" t="n"/>
      <c r="M5" s="410" t="n"/>
      <c r="N5" s="410" t="n"/>
      <c r="O5" s="410" t="n"/>
      <c r="P5" s="410" t="n"/>
      <c r="Q5" s="410" t="n"/>
      <c r="R5" s="410" t="n"/>
      <c r="S5" s="410" t="n"/>
      <c r="T5" s="410" t="n"/>
      <c r="U5" s="410" t="n"/>
      <c r="V5" s="410" t="n"/>
      <c r="W5" s="410" t="n"/>
      <c r="X5" s="410" t="n"/>
      <c r="Y5" s="410" t="n"/>
    </row>
    <row r="6" ht="16.5" customHeight="1" s="408">
      <c r="A6" s="410" t="n"/>
      <c r="B6" s="420" t="inlineStr">
        <is>
          <t>Author</t>
        </is>
      </c>
      <c r="C6" s="422" t="inlineStr">
        <is>
          <t>QA Team</t>
        </is>
      </c>
      <c r="D6" s="418" t="n"/>
      <c r="E6" s="423" t="n"/>
      <c r="F6" s="423" t="n"/>
      <c r="G6" s="410" t="n"/>
      <c r="H6" s="410" t="n"/>
      <c r="I6" s="410" t="n"/>
      <c r="J6" s="410" t="n"/>
      <c r="K6" s="410" t="n"/>
      <c r="L6" s="410" t="n"/>
      <c r="M6" s="410" t="n"/>
      <c r="N6" s="410" t="n"/>
      <c r="O6" s="410" t="n"/>
      <c r="P6" s="410" t="n"/>
      <c r="Q6" s="410" t="n"/>
      <c r="R6" s="410" t="n"/>
      <c r="S6" s="410" t="n"/>
      <c r="T6" s="410" t="n"/>
      <c r="U6" s="410" t="n"/>
      <c r="V6" s="410" t="n"/>
      <c r="W6" s="410" t="n"/>
      <c r="X6" s="410" t="n"/>
      <c r="Y6" s="410" t="n"/>
    </row>
    <row r="7" ht="16.5" customHeight="1" s="408">
      <c r="A7" s="410" t="n"/>
      <c r="B7" s="420" t="n"/>
      <c r="C7" s="422" t="n"/>
      <c r="D7" s="418" t="n"/>
      <c r="E7" s="424" t="n"/>
      <c r="F7" s="424" t="n"/>
      <c r="G7" s="410" t="n"/>
      <c r="H7" s="410" t="n"/>
      <c r="I7" s="410" t="n"/>
      <c r="J7" s="410" t="n"/>
      <c r="K7" s="410" t="n"/>
      <c r="L7" s="410" t="n"/>
      <c r="M7" s="410" t="n"/>
      <c r="N7" s="410" t="n"/>
      <c r="O7" s="410" t="n"/>
      <c r="P7" s="410" t="n"/>
      <c r="Q7" s="410" t="n"/>
      <c r="R7" s="410" t="n"/>
      <c r="S7" s="410" t="n"/>
      <c r="T7" s="410" t="n"/>
      <c r="U7" s="410" t="n"/>
      <c r="V7" s="410" t="n"/>
      <c r="W7" s="410" t="n"/>
      <c r="X7" s="410" t="n"/>
      <c r="Y7" s="410" t="n"/>
    </row>
    <row r="8" ht="16.5" customHeight="1" s="408">
      <c r="A8" s="410" t="n"/>
      <c r="B8" s="420" t="n"/>
      <c r="C8" s="422" t="n"/>
      <c r="D8" s="425" t="n"/>
      <c r="E8" s="424" t="n"/>
      <c r="F8" s="424" t="n"/>
      <c r="G8" s="410" t="n"/>
      <c r="H8" s="410" t="n"/>
      <c r="I8" s="410" t="n"/>
      <c r="J8" s="410" t="n"/>
      <c r="K8" s="410" t="n"/>
      <c r="L8" s="410" t="n"/>
      <c r="M8" s="410" t="n"/>
      <c r="N8" s="410" t="n"/>
      <c r="O8" s="410" t="n"/>
      <c r="P8" s="410" t="n"/>
      <c r="Q8" s="410" t="n"/>
      <c r="R8" s="410" t="n"/>
      <c r="S8" s="410" t="n"/>
      <c r="T8" s="410" t="n"/>
      <c r="U8" s="410" t="n"/>
      <c r="V8" s="410" t="n"/>
      <c r="W8" s="410" t="n"/>
      <c r="X8" s="410" t="n"/>
      <c r="Y8" s="410" t="n"/>
    </row>
    <row r="9" ht="16.5" customHeight="1" s="408">
      <c r="A9" s="410" t="n"/>
      <c r="B9" s="426" t="inlineStr">
        <is>
          <t>Info test (account/pass/...</t>
        </is>
      </c>
      <c r="C9" s="427" t="inlineStr">
        <is>
          <t>Tài khoản demo Free: 0909111111 / Pro: 0909222222 / Dùng thử: 0909333333</t>
        </is>
      </c>
      <c r="D9" s="425" t="n"/>
      <c r="E9" s="424" t="n"/>
      <c r="F9" s="424" t="n"/>
      <c r="G9" s="410" t="n"/>
      <c r="H9" s="410" t="n"/>
      <c r="I9" s="410" t="n"/>
      <c r="J9" s="410" t="n"/>
      <c r="K9" s="410" t="n"/>
      <c r="L9" s="410" t="n"/>
      <c r="M9" s="410" t="n"/>
      <c r="N9" s="410" t="n"/>
      <c r="O9" s="410" t="n"/>
      <c r="P9" s="410" t="n"/>
      <c r="Q9" s="410" t="n"/>
      <c r="R9" s="410" t="n"/>
      <c r="S9" s="410" t="n"/>
      <c r="T9" s="410" t="n"/>
      <c r="U9" s="410" t="n"/>
      <c r="V9" s="410" t="n"/>
      <c r="W9" s="410" t="n"/>
      <c r="X9" s="410" t="n"/>
      <c r="Y9" s="410" t="n"/>
    </row>
    <row r="10" ht="16.5" customHeight="1" s="408">
      <c r="A10" s="410" t="n"/>
      <c r="B10" s="420" t="n"/>
      <c r="C10" s="428" t="n"/>
      <c r="D10" s="425" t="n"/>
      <c r="E10" s="424" t="n"/>
      <c r="F10" s="429" t="n"/>
      <c r="G10" s="410" t="n"/>
      <c r="H10" s="410" t="n"/>
      <c r="I10" s="410" t="n"/>
      <c r="J10" s="410" t="n"/>
      <c r="K10" s="410" t="n"/>
      <c r="L10" s="410" t="n"/>
      <c r="M10" s="410" t="n"/>
      <c r="N10" s="410" t="n"/>
      <c r="O10" s="410" t="n"/>
      <c r="P10" s="410" t="n"/>
      <c r="Q10" s="410" t="n"/>
      <c r="R10" s="410" t="n"/>
      <c r="S10" s="410" t="n"/>
      <c r="T10" s="410" t="n"/>
      <c r="U10" s="410" t="n"/>
      <c r="V10" s="410" t="n"/>
      <c r="W10" s="410" t="n"/>
      <c r="X10" s="410" t="n"/>
      <c r="Y10" s="410" t="n"/>
    </row>
    <row r="11" ht="16.5" customHeight="1" s="408">
      <c r="A11" s="410" t="n"/>
      <c r="B11" s="420" t="n"/>
      <c r="C11" s="428" t="n"/>
      <c r="D11" s="425" t="n"/>
      <c r="E11" s="424" t="n"/>
      <c r="F11" s="424" t="n"/>
      <c r="G11" s="410" t="n"/>
      <c r="H11" s="410" t="n"/>
      <c r="I11" s="410" t="n"/>
      <c r="J11" s="410" t="n"/>
      <c r="K11" s="410" t="n"/>
      <c r="L11" s="410" t="n"/>
      <c r="M11" s="410" t="n"/>
      <c r="N11" s="410" t="n"/>
      <c r="O11" s="410" t="n"/>
      <c r="P11" s="410" t="n"/>
      <c r="Q11" s="410" t="n"/>
      <c r="R11" s="410" t="n"/>
      <c r="S11" s="410" t="n"/>
      <c r="T11" s="410" t="n"/>
      <c r="U11" s="410" t="n"/>
      <c r="V11" s="410" t="n"/>
      <c r="W11" s="410" t="n"/>
      <c r="X11" s="410" t="n"/>
      <c r="Y11" s="410" t="n"/>
    </row>
    <row r="12" ht="16.5" customHeight="1" s="408">
      <c r="A12" s="410" t="n"/>
      <c r="B12" s="420" t="n"/>
      <c r="C12" s="422" t="n"/>
      <c r="D12" s="425" t="n"/>
      <c r="E12" s="424" t="n"/>
      <c r="F12" s="424" t="n"/>
      <c r="G12" s="410" t="n"/>
      <c r="H12" s="410" t="n"/>
      <c r="I12" s="410" t="n"/>
      <c r="J12" s="410" t="n"/>
      <c r="K12" s="410" t="n"/>
      <c r="L12" s="410" t="n"/>
      <c r="M12" s="410" t="n"/>
      <c r="N12" s="410" t="n"/>
      <c r="O12" s="410" t="n"/>
      <c r="P12" s="410" t="n"/>
      <c r="Q12" s="410" t="n"/>
      <c r="R12" s="410" t="n"/>
      <c r="S12" s="410" t="n"/>
      <c r="T12" s="410" t="n"/>
      <c r="U12" s="410" t="n"/>
      <c r="V12" s="410" t="n"/>
      <c r="W12" s="410" t="n"/>
      <c r="X12" s="410" t="n"/>
      <c r="Y12" s="410" t="n"/>
    </row>
    <row r="13" ht="16.5" customHeight="1" s="408">
      <c r="A13" s="410" t="n"/>
      <c r="B13" s="420" t="inlineStr">
        <is>
          <t>Người Duyệt</t>
        </is>
      </c>
      <c r="C13" s="422" t="n"/>
      <c r="D13" s="418" t="n"/>
      <c r="E13" s="430" t="n"/>
      <c r="F13" s="430" t="n"/>
      <c r="G13" s="410" t="n"/>
      <c r="H13" s="410" t="n"/>
      <c r="I13" s="410" t="n"/>
      <c r="J13" s="410" t="n"/>
      <c r="K13" s="410" t="n"/>
      <c r="L13" s="410" t="n"/>
      <c r="M13" s="410" t="n"/>
      <c r="N13" s="410" t="n"/>
      <c r="O13" s="410" t="n"/>
      <c r="P13" s="410" t="n"/>
      <c r="Q13" s="410" t="n"/>
      <c r="R13" s="410" t="n"/>
      <c r="S13" s="410" t="n"/>
      <c r="T13" s="410" t="n"/>
      <c r="U13" s="410" t="n"/>
      <c r="V13" s="410" t="n"/>
      <c r="W13" s="410" t="n"/>
      <c r="X13" s="410" t="n"/>
      <c r="Y13" s="410" t="n"/>
    </row>
    <row r="14" ht="16.5" customHeight="1" s="408">
      <c r="A14" s="410" t="n"/>
      <c r="B14" s="431" t="n"/>
      <c r="C14" s="430" t="n"/>
      <c r="D14" s="430" t="n"/>
      <c r="E14" s="430" t="n"/>
      <c r="F14" s="430" t="n"/>
      <c r="G14" s="410" t="n"/>
      <c r="H14" s="410" t="n"/>
      <c r="I14" s="410" t="n"/>
      <c r="J14" s="410" t="n"/>
      <c r="K14" s="410" t="n"/>
      <c r="L14" s="410" t="n"/>
      <c r="M14" s="410" t="n"/>
      <c r="N14" s="410" t="n"/>
      <c r="O14" s="410" t="n"/>
      <c r="P14" s="410" t="n"/>
      <c r="Q14" s="410" t="n"/>
      <c r="R14" s="410" t="n"/>
      <c r="S14" s="410" t="n"/>
      <c r="T14" s="410" t="n"/>
      <c r="U14" s="410" t="n"/>
      <c r="V14" s="410" t="n"/>
      <c r="W14" s="410" t="n"/>
      <c r="X14" s="410" t="n"/>
      <c r="Y14" s="410" t="n"/>
    </row>
    <row r="15" ht="16.5" customHeight="1" s="408">
      <c r="A15" s="410" t="n"/>
      <c r="B15" s="431" t="n"/>
      <c r="C15" s="430" t="n"/>
      <c r="D15" s="430" t="n"/>
      <c r="E15" s="430" t="n"/>
      <c r="F15" s="432" t="n"/>
      <c r="G15" s="410" t="n"/>
      <c r="H15" s="410" t="n"/>
      <c r="I15" s="410" t="n"/>
      <c r="J15" s="410" t="n"/>
      <c r="K15" s="410" t="n"/>
      <c r="L15" s="410" t="n"/>
      <c r="M15" s="410" t="n"/>
      <c r="N15" s="410" t="n"/>
      <c r="O15" s="410" t="n"/>
      <c r="P15" s="410" t="n"/>
      <c r="Q15" s="410" t="n"/>
      <c r="R15" s="410" t="n"/>
      <c r="S15" s="410" t="n"/>
      <c r="T15" s="410" t="n"/>
      <c r="U15" s="410" t="n"/>
      <c r="V15" s="410" t="n"/>
      <c r="W15" s="410" t="n"/>
      <c r="X15" s="410" t="n"/>
      <c r="Y15" s="410" t="n"/>
    </row>
    <row r="16" ht="16.5" customHeight="1" s="408">
      <c r="A16" s="410" t="n"/>
      <c r="B16" s="433" t="n"/>
      <c r="C16" s="434" t="n"/>
      <c r="D16" s="434" t="n"/>
      <c r="E16" s="434" t="n"/>
      <c r="F16" s="434" t="n"/>
      <c r="G16" s="410" t="n"/>
      <c r="H16" s="410" t="n"/>
      <c r="I16" s="410" t="n"/>
      <c r="J16" s="410" t="n"/>
      <c r="K16" s="410" t="n"/>
      <c r="L16" s="410" t="n"/>
      <c r="M16" s="410" t="n"/>
      <c r="N16" s="410" t="n"/>
      <c r="O16" s="410" t="n"/>
      <c r="P16" s="410" t="n"/>
      <c r="Q16" s="410" t="n"/>
      <c r="R16" s="410" t="n"/>
      <c r="S16" s="410" t="n"/>
      <c r="T16" s="410" t="n"/>
      <c r="U16" s="410" t="n"/>
      <c r="V16" s="410" t="n"/>
      <c r="W16" s="410" t="n"/>
      <c r="X16" s="410" t="n"/>
      <c r="Y16" s="410" t="n"/>
    </row>
    <row r="17" ht="16.5" customHeight="1" s="408">
      <c r="A17" s="435" t="n"/>
      <c r="B17" s="435" t="n"/>
      <c r="C17" s="436" t="n"/>
      <c r="D17" s="436" t="n"/>
      <c r="E17" s="436" t="n"/>
      <c r="F17" s="435" t="n"/>
      <c r="G17" s="435" t="n"/>
      <c r="H17" s="410" t="n"/>
      <c r="I17" s="410" t="n"/>
      <c r="J17" s="410" t="n"/>
      <c r="K17" s="410" t="n"/>
      <c r="L17" s="410" t="n"/>
      <c r="M17" s="410" t="n"/>
      <c r="N17" s="410" t="n"/>
      <c r="O17" s="410" t="n"/>
      <c r="P17" s="410" t="n"/>
      <c r="Q17" s="410" t="n"/>
      <c r="R17" s="410" t="n"/>
      <c r="S17" s="410" t="n"/>
      <c r="T17" s="410" t="n"/>
      <c r="U17" s="410" t="n"/>
      <c r="V17" s="410" t="n"/>
      <c r="W17" s="410" t="n"/>
      <c r="X17" s="410" t="n"/>
      <c r="Y17" s="410" t="n"/>
    </row>
    <row r="18" ht="16.5" customHeight="1" s="408">
      <c r="A18" s="435" t="n"/>
      <c r="B18" s="437" t="inlineStr">
        <is>
          <t>1. Revision History</t>
        </is>
      </c>
      <c r="C18" s="435" t="n"/>
      <c r="D18" s="435" t="n"/>
      <c r="E18" s="435" t="n"/>
      <c r="F18" s="435" t="n"/>
      <c r="G18" s="435" t="n"/>
      <c r="H18" s="410" t="n"/>
      <c r="I18" s="410" t="n"/>
      <c r="J18" s="410" t="n"/>
      <c r="K18" s="410" t="n"/>
      <c r="L18" s="410" t="n"/>
      <c r="M18" s="410" t="n"/>
      <c r="N18" s="410" t="n"/>
      <c r="O18" s="410" t="n"/>
      <c r="P18" s="410" t="n"/>
      <c r="Q18" s="410" t="n"/>
      <c r="R18" s="410" t="n"/>
      <c r="S18" s="410" t="n"/>
      <c r="T18" s="410" t="n"/>
      <c r="U18" s="410" t="n"/>
      <c r="V18" s="410" t="n"/>
      <c r="W18" s="410" t="n"/>
      <c r="X18" s="410" t="n"/>
      <c r="Y18" s="410" t="n"/>
    </row>
    <row r="19" ht="16.5" customHeight="1" s="408">
      <c r="A19" s="435" t="n"/>
      <c r="B19" s="435" t="n"/>
      <c r="C19" s="435" t="n"/>
      <c r="D19" s="435" t="n"/>
      <c r="E19" s="435" t="n"/>
      <c r="F19" s="435" t="n"/>
      <c r="G19" s="435" t="n"/>
      <c r="H19" s="410" t="n"/>
      <c r="I19" s="410" t="n"/>
      <c r="J19" s="410" t="n"/>
      <c r="K19" s="410" t="n"/>
      <c r="L19" s="410" t="n"/>
      <c r="M19" s="410" t="n"/>
      <c r="N19" s="410" t="n"/>
      <c r="O19" s="410" t="n"/>
      <c r="P19" s="410" t="n"/>
      <c r="Q19" s="410" t="n"/>
      <c r="R19" s="410" t="n"/>
      <c r="S19" s="410" t="n"/>
      <c r="T19" s="410" t="n"/>
      <c r="U19" s="410" t="n"/>
      <c r="V19" s="410" t="n"/>
      <c r="W19" s="410" t="n"/>
      <c r="X19" s="410" t="n"/>
      <c r="Y19" s="410" t="n"/>
    </row>
    <row r="20" ht="16.5" customHeight="1" s="408">
      <c r="A20" s="438" t="n"/>
      <c r="B20" s="439" t="inlineStr">
        <is>
          <t>Date
(YYYY-MM-DD)</t>
        </is>
      </c>
      <c r="C20" s="439" t="inlineStr">
        <is>
          <t>Version</t>
        </is>
      </c>
      <c r="D20" s="439" t="inlineStr">
        <is>
          <t>Change Description</t>
        </is>
      </c>
      <c r="E20" s="439" t="inlineStr">
        <is>
          <t>Author</t>
        </is>
      </c>
      <c r="F20" s="440" t="n"/>
      <c r="G20" s="438" t="n"/>
      <c r="H20" s="438" t="n"/>
      <c r="I20" s="438" t="n"/>
      <c r="J20" s="438" t="n"/>
      <c r="K20" s="438" t="n"/>
      <c r="L20" s="438" t="n"/>
      <c r="M20" s="438" t="n"/>
      <c r="N20" s="438" t="n"/>
      <c r="O20" s="438" t="n"/>
      <c r="P20" s="438" t="n"/>
      <c r="Q20" s="438" t="n"/>
      <c r="R20" s="438" t="n"/>
      <c r="S20" s="438" t="n"/>
      <c r="T20" s="438" t="n"/>
      <c r="U20" s="438" t="n"/>
      <c r="V20" s="438" t="n"/>
      <c r="W20" s="438" t="n"/>
      <c r="X20" s="438" t="n"/>
      <c r="Y20" s="438" t="n"/>
      <c r="Z20" s="441" t="n"/>
    </row>
    <row r="21" ht="16.5" customHeight="1" s="408">
      <c r="A21" s="435" t="n"/>
      <c r="B21" s="442" t="n"/>
      <c r="C21" s="443" t="n"/>
      <c r="D21" s="444" t="n"/>
      <c r="E21" s="443" t="n"/>
      <c r="F21" s="445" t="n"/>
      <c r="G21" s="435" t="n"/>
      <c r="H21" s="446" t="n"/>
      <c r="I21" s="446" t="n"/>
      <c r="J21" s="446" t="n"/>
      <c r="K21" s="446" t="n"/>
      <c r="L21" s="446" t="n"/>
      <c r="M21" s="446" t="n"/>
      <c r="N21" s="446" t="n"/>
      <c r="O21" s="446" t="n"/>
      <c r="P21" s="446" t="n"/>
      <c r="Q21" s="446" t="n"/>
      <c r="R21" s="446" t="n"/>
      <c r="S21" s="446" t="n"/>
      <c r="T21" s="446" t="n"/>
      <c r="U21" s="446" t="n"/>
      <c r="V21" s="446" t="n"/>
      <c r="W21" s="446" t="n"/>
      <c r="X21" s="446" t="n"/>
      <c r="Y21" s="446" t="n"/>
    </row>
    <row r="22" ht="16.5" customHeight="1" s="408">
      <c r="A22" s="435" t="n"/>
      <c r="B22" s="447" t="n"/>
      <c r="C22" s="448" t="n"/>
      <c r="D22" s="449" t="n"/>
      <c r="E22" s="449" t="n"/>
      <c r="F22" s="445" t="n"/>
      <c r="G22" s="435" t="n"/>
      <c r="H22" s="446" t="n"/>
      <c r="I22" s="446" t="n"/>
      <c r="J22" s="446" t="n"/>
      <c r="K22" s="446" t="n"/>
      <c r="L22" s="446" t="n"/>
      <c r="M22" s="446" t="n"/>
      <c r="N22" s="446" t="n"/>
      <c r="O22" s="446" t="n"/>
      <c r="P22" s="446" t="n"/>
      <c r="Q22" s="446" t="n"/>
      <c r="R22" s="446" t="n"/>
      <c r="S22" s="446" t="n"/>
      <c r="T22" s="446" t="n"/>
      <c r="U22" s="446" t="n"/>
      <c r="V22" s="446" t="n"/>
      <c r="W22" s="446" t="n"/>
      <c r="X22" s="446" t="n"/>
      <c r="Y22" s="446" t="n"/>
    </row>
    <row r="23" ht="16.5" customHeight="1" s="408">
      <c r="A23" s="435" t="n"/>
      <c r="B23" s="447" t="n"/>
      <c r="C23" s="448" t="n"/>
      <c r="D23" s="449" t="n"/>
      <c r="E23" s="449" t="n"/>
      <c r="F23" s="435" t="n"/>
      <c r="G23" s="435" t="n"/>
      <c r="H23" s="446" t="n"/>
      <c r="I23" s="446" t="n"/>
      <c r="J23" s="446" t="n"/>
      <c r="K23" s="446" t="n"/>
      <c r="L23" s="446" t="n"/>
      <c r="M23" s="446" t="n"/>
      <c r="N23" s="446" t="n"/>
      <c r="O23" s="446" t="n"/>
      <c r="P23" s="446" t="n"/>
      <c r="Q23" s="446" t="n"/>
      <c r="R23" s="446" t="n"/>
      <c r="S23" s="446" t="n"/>
      <c r="T23" s="446" t="n"/>
      <c r="U23" s="446" t="n"/>
      <c r="V23" s="446" t="n"/>
      <c r="W23" s="446" t="n"/>
      <c r="X23" s="446" t="n"/>
      <c r="Y23" s="446" t="n"/>
    </row>
    <row r="24" ht="16.5" customHeight="1" s="408">
      <c r="A24" s="435" t="n"/>
      <c r="B24" s="447" t="n"/>
      <c r="C24" s="448" t="n"/>
      <c r="D24" s="449" t="n"/>
      <c r="E24" s="449" t="n"/>
      <c r="F24" s="435" t="n"/>
      <c r="G24" s="435" t="n"/>
      <c r="H24" s="446" t="n"/>
      <c r="I24" s="446" t="n"/>
      <c r="J24" s="446" t="n"/>
      <c r="K24" s="446" t="n"/>
      <c r="L24" s="446" t="n"/>
      <c r="M24" s="446" t="n"/>
      <c r="N24" s="446" t="n"/>
      <c r="O24" s="446" t="n"/>
      <c r="P24" s="446" t="n"/>
      <c r="Q24" s="446" t="n"/>
      <c r="R24" s="446" t="n"/>
      <c r="S24" s="446" t="n"/>
      <c r="T24" s="446" t="n"/>
      <c r="U24" s="446" t="n"/>
      <c r="V24" s="446" t="n"/>
      <c r="W24" s="446" t="n"/>
      <c r="X24" s="446" t="n"/>
      <c r="Y24" s="446" t="n"/>
    </row>
    <row r="25" ht="16.5" customHeight="1" s="408">
      <c r="A25" s="435" t="n"/>
      <c r="B25" s="450" t="n"/>
      <c r="C25" s="451" t="n"/>
      <c r="D25" s="452" t="n"/>
      <c r="E25" s="435" t="n"/>
      <c r="F25" s="435" t="n"/>
      <c r="G25" s="435" t="n"/>
      <c r="H25" s="446" t="n"/>
      <c r="I25" s="446" t="n"/>
      <c r="J25" s="446" t="n"/>
      <c r="K25" s="446" t="n"/>
      <c r="L25" s="446" t="n"/>
      <c r="M25" s="446" t="n"/>
      <c r="N25" s="446" t="n"/>
      <c r="O25" s="446" t="n"/>
      <c r="P25" s="446" t="n"/>
      <c r="Q25" s="446" t="n"/>
      <c r="R25" s="446" t="n"/>
      <c r="S25" s="446" t="n"/>
      <c r="T25" s="446" t="n"/>
      <c r="U25" s="446" t="n"/>
      <c r="V25" s="446" t="n"/>
      <c r="W25" s="446" t="n"/>
      <c r="X25" s="446" t="n"/>
      <c r="Y25" s="446" t="n"/>
    </row>
    <row r="26" ht="16.5" customHeight="1" s="408">
      <c r="A26" s="435" t="n"/>
      <c r="B26" s="450" t="n"/>
      <c r="C26" s="451" t="n"/>
      <c r="D26" s="452" t="n"/>
      <c r="E26" s="435" t="n"/>
      <c r="F26" s="435" t="n"/>
      <c r="G26" s="435" t="n"/>
      <c r="H26" s="446" t="n"/>
      <c r="I26" s="446" t="n"/>
      <c r="J26" s="446" t="n"/>
      <c r="K26" s="446" t="n"/>
      <c r="L26" s="446" t="n"/>
      <c r="M26" s="446" t="n"/>
      <c r="N26" s="446" t="n"/>
      <c r="O26" s="446" t="n"/>
      <c r="P26" s="446" t="n"/>
      <c r="Q26" s="446" t="n"/>
      <c r="R26" s="446" t="n"/>
      <c r="S26" s="446" t="n"/>
      <c r="T26" s="446" t="n"/>
      <c r="U26" s="446" t="n"/>
      <c r="V26" s="446" t="n"/>
      <c r="W26" s="446" t="n"/>
      <c r="X26" s="446" t="n"/>
      <c r="Y26" s="446" t="n"/>
    </row>
    <row r="27" ht="16.5" customHeight="1" s="408">
      <c r="A27" s="435" t="n"/>
      <c r="B27" s="452" t="n"/>
      <c r="C27" s="452" t="n"/>
      <c r="D27" s="452" t="n"/>
      <c r="E27" s="435" t="n"/>
      <c r="F27" s="435" t="n"/>
      <c r="G27" s="435" t="n"/>
      <c r="H27" s="410" t="n"/>
      <c r="I27" s="410" t="n"/>
      <c r="J27" s="410" t="n"/>
      <c r="K27" s="410" t="n"/>
      <c r="L27" s="410" t="n"/>
      <c r="M27" s="410" t="n"/>
      <c r="N27" s="410" t="n"/>
      <c r="O27" s="410" t="n"/>
      <c r="P27" s="410" t="n"/>
      <c r="Q27" s="410" t="n"/>
      <c r="R27" s="410" t="n"/>
      <c r="S27" s="410" t="n"/>
      <c r="T27" s="410" t="n"/>
      <c r="U27" s="410" t="n"/>
      <c r="V27" s="410" t="n"/>
      <c r="W27" s="410" t="n"/>
      <c r="X27" s="410" t="n"/>
      <c r="Y27" s="410" t="n"/>
    </row>
    <row r="28" ht="16.5" customHeight="1" s="408">
      <c r="A28" s="435" t="n"/>
      <c r="B28" s="452" t="n"/>
      <c r="C28" s="452" t="n"/>
      <c r="D28" s="452" t="n"/>
      <c r="E28" s="435" t="n"/>
      <c r="F28" s="435" t="n"/>
      <c r="G28" s="435" t="n"/>
      <c r="H28" s="410" t="n"/>
      <c r="I28" s="410" t="n"/>
      <c r="J28" s="410" t="n"/>
      <c r="K28" s="410" t="n"/>
      <c r="L28" s="410" t="n"/>
      <c r="M28" s="410" t="n"/>
      <c r="N28" s="410" t="n"/>
      <c r="O28" s="410" t="n"/>
      <c r="P28" s="410" t="n"/>
      <c r="Q28" s="410" t="n"/>
      <c r="R28" s="410" t="n"/>
      <c r="S28" s="410" t="n"/>
      <c r="T28" s="410" t="n"/>
      <c r="U28" s="410" t="n"/>
      <c r="V28" s="410" t="n"/>
      <c r="W28" s="410" t="n"/>
      <c r="X28" s="410" t="n"/>
      <c r="Y28" s="410" t="n"/>
    </row>
    <row r="29" ht="16.5" customHeight="1" s="408">
      <c r="A29" s="410" t="n"/>
      <c r="B29" s="410" t="n"/>
      <c r="C29" s="410" t="n"/>
      <c r="D29" s="410" t="n"/>
      <c r="E29" s="410" t="n"/>
      <c r="F29" s="410" t="n"/>
      <c r="G29" s="410" t="n"/>
      <c r="H29" s="410" t="n"/>
      <c r="I29" s="410" t="n"/>
      <c r="J29" s="410" t="n"/>
      <c r="K29" s="410" t="n"/>
      <c r="L29" s="410" t="n"/>
      <c r="M29" s="410" t="n"/>
      <c r="N29" s="410" t="n"/>
      <c r="O29" s="410" t="n"/>
      <c r="P29" s="410" t="n"/>
      <c r="Q29" s="410" t="n"/>
      <c r="R29" s="410" t="n"/>
      <c r="S29" s="410" t="n"/>
      <c r="T29" s="410" t="n"/>
      <c r="U29" s="410" t="n"/>
      <c r="V29" s="410" t="n"/>
      <c r="W29" s="410" t="n"/>
      <c r="X29" s="410" t="n"/>
      <c r="Y29" s="410" t="n"/>
    </row>
    <row r="30" ht="16.5" customHeight="1" s="408">
      <c r="A30" s="410" t="n"/>
      <c r="B30" s="410" t="n"/>
      <c r="C30" s="410" t="n"/>
      <c r="D30" s="410" t="n"/>
      <c r="E30" s="410" t="n"/>
      <c r="F30" s="410" t="n"/>
      <c r="G30" s="410" t="n"/>
      <c r="H30" s="410" t="n"/>
      <c r="I30" s="410" t="n"/>
      <c r="J30" s="410" t="n"/>
      <c r="K30" s="410" t="n"/>
      <c r="L30" s="410" t="n"/>
      <c r="M30" s="410" t="n"/>
      <c r="N30" s="410" t="n"/>
      <c r="O30" s="410" t="n"/>
      <c r="P30" s="410" t="n"/>
      <c r="Q30" s="410" t="n"/>
      <c r="R30" s="410" t="n"/>
      <c r="S30" s="410" t="n"/>
      <c r="T30" s="410" t="n"/>
      <c r="U30" s="410" t="n"/>
      <c r="V30" s="410" t="n"/>
      <c r="W30" s="410" t="n"/>
      <c r="X30" s="410" t="n"/>
      <c r="Y30" s="410" t="n"/>
    </row>
    <row r="31" ht="16.5" customHeight="1" s="408">
      <c r="A31" s="410" t="n"/>
      <c r="B31" s="410" t="n"/>
      <c r="C31" s="410" t="n"/>
      <c r="D31" s="410" t="n"/>
      <c r="E31" s="410" t="n"/>
      <c r="F31" s="410" t="n"/>
      <c r="G31" s="410" t="n"/>
      <c r="H31" s="410" t="n"/>
      <c r="I31" s="410" t="n"/>
      <c r="J31" s="410" t="n"/>
      <c r="K31" s="410" t="n"/>
      <c r="L31" s="410" t="n"/>
      <c r="M31" s="410" t="n"/>
      <c r="N31" s="410" t="n"/>
      <c r="O31" s="410" t="n"/>
      <c r="P31" s="410" t="n"/>
      <c r="Q31" s="410" t="n"/>
      <c r="R31" s="410" t="n"/>
      <c r="S31" s="410" t="n"/>
      <c r="T31" s="410" t="n"/>
      <c r="U31" s="410" t="n"/>
      <c r="V31" s="410" t="n"/>
      <c r="W31" s="410" t="n"/>
      <c r="X31" s="410" t="n"/>
      <c r="Y31" s="410" t="n"/>
    </row>
    <row r="32" ht="16.5" customHeight="1" s="408">
      <c r="A32" s="410" t="n"/>
      <c r="B32" s="410" t="n"/>
      <c r="C32" s="410" t="n"/>
      <c r="D32" s="410" t="n"/>
      <c r="E32" s="410" t="n"/>
      <c r="F32" s="410" t="n"/>
      <c r="G32" s="410" t="n"/>
      <c r="H32" s="410" t="n"/>
      <c r="I32" s="410" t="n"/>
      <c r="J32" s="410" t="n"/>
      <c r="K32" s="410" t="n"/>
      <c r="L32" s="410" t="n"/>
      <c r="M32" s="410" t="n"/>
      <c r="N32" s="410" t="n"/>
      <c r="O32" s="410" t="n"/>
      <c r="P32" s="410" t="n"/>
      <c r="Q32" s="410" t="n"/>
      <c r="R32" s="410" t="n"/>
      <c r="S32" s="410" t="n"/>
      <c r="T32" s="410" t="n"/>
      <c r="U32" s="410" t="n"/>
      <c r="V32" s="410" t="n"/>
      <c r="W32" s="410" t="n"/>
      <c r="X32" s="410" t="n"/>
      <c r="Y32" s="410" t="n"/>
    </row>
    <row r="33" ht="16.5" customHeight="1" s="408">
      <c r="A33" s="410" t="n"/>
      <c r="B33" s="410" t="n"/>
      <c r="C33" s="410" t="n"/>
      <c r="D33" s="410" t="n"/>
      <c r="E33" s="410" t="n"/>
      <c r="F33" s="410" t="n"/>
      <c r="G33" s="410" t="n"/>
      <c r="H33" s="410" t="n"/>
      <c r="I33" s="410" t="n"/>
      <c r="J33" s="410" t="n"/>
      <c r="K33" s="410" t="n"/>
      <c r="L33" s="410" t="n"/>
      <c r="M33" s="410" t="n"/>
      <c r="N33" s="410" t="n"/>
      <c r="O33" s="410" t="n"/>
      <c r="P33" s="410" t="n"/>
      <c r="Q33" s="410" t="n"/>
      <c r="R33" s="410" t="n"/>
      <c r="S33" s="410" t="n"/>
      <c r="T33" s="410" t="n"/>
      <c r="U33" s="410" t="n"/>
      <c r="V33" s="410" t="n"/>
      <c r="W33" s="410" t="n"/>
      <c r="X33" s="410" t="n"/>
      <c r="Y33" s="410" t="n"/>
    </row>
    <row r="34" ht="16.5" customHeight="1" s="408">
      <c r="A34" s="410" t="n"/>
      <c r="B34" s="410" t="n"/>
      <c r="C34" s="410" t="n"/>
      <c r="D34" s="410" t="n"/>
      <c r="E34" s="410" t="n"/>
      <c r="F34" s="410" t="n"/>
      <c r="G34" s="410" t="n"/>
      <c r="H34" s="410" t="n"/>
      <c r="I34" s="410" t="n"/>
      <c r="J34" s="410" t="n"/>
      <c r="K34" s="410" t="n"/>
      <c r="L34" s="410" t="n"/>
      <c r="M34" s="410" t="n"/>
      <c r="N34" s="410" t="n"/>
      <c r="O34" s="410" t="n"/>
      <c r="P34" s="410" t="n"/>
      <c r="Q34" s="410" t="n"/>
      <c r="R34" s="410" t="n"/>
      <c r="S34" s="410" t="n"/>
      <c r="T34" s="410" t="n"/>
      <c r="U34" s="410" t="n"/>
      <c r="V34" s="410" t="n"/>
      <c r="W34" s="410" t="n"/>
      <c r="X34" s="410" t="n"/>
      <c r="Y34" s="410" t="n"/>
    </row>
    <row r="35" ht="16.5" customHeight="1" s="408">
      <c r="A35" s="410" t="n"/>
      <c r="B35" s="410" t="n"/>
      <c r="C35" s="410" t="n"/>
      <c r="D35" s="410" t="n"/>
      <c r="E35" s="410" t="n"/>
      <c r="F35" s="410" t="n"/>
      <c r="G35" s="410" t="n"/>
      <c r="H35" s="410" t="n"/>
      <c r="I35" s="410" t="n"/>
      <c r="J35" s="410" t="n"/>
      <c r="K35" s="410" t="n"/>
      <c r="L35" s="410" t="n"/>
      <c r="M35" s="410" t="n"/>
      <c r="N35" s="410" t="n"/>
      <c r="O35" s="410" t="n"/>
      <c r="P35" s="410" t="n"/>
      <c r="Q35" s="410" t="n"/>
      <c r="R35" s="410" t="n"/>
      <c r="S35" s="410" t="n"/>
      <c r="T35" s="410" t="n"/>
      <c r="U35" s="410" t="n"/>
      <c r="V35" s="410" t="n"/>
      <c r="W35" s="410" t="n"/>
      <c r="X35" s="410" t="n"/>
      <c r="Y35" s="410" t="n"/>
    </row>
    <row r="36" ht="16.5" customHeight="1" s="408">
      <c r="A36" s="410" t="n"/>
      <c r="B36" s="410" t="n"/>
      <c r="C36" s="410" t="n"/>
      <c r="D36" s="410" t="n"/>
      <c r="E36" s="410" t="n"/>
      <c r="F36" s="410" t="n"/>
      <c r="G36" s="410" t="n"/>
      <c r="H36" s="410" t="n"/>
      <c r="I36" s="410" t="n"/>
      <c r="J36" s="410" t="n"/>
      <c r="K36" s="410" t="n"/>
      <c r="L36" s="410" t="n"/>
      <c r="M36" s="410" t="n"/>
      <c r="N36" s="410" t="n"/>
      <c r="O36" s="410" t="n"/>
      <c r="P36" s="410" t="n"/>
      <c r="Q36" s="410" t="n"/>
      <c r="R36" s="410" t="n"/>
      <c r="S36" s="410" t="n"/>
      <c r="T36" s="410" t="n"/>
      <c r="U36" s="410" t="n"/>
      <c r="V36" s="410" t="n"/>
      <c r="W36" s="410" t="n"/>
      <c r="X36" s="410" t="n"/>
      <c r="Y36" s="410" t="n"/>
    </row>
    <row r="37" ht="16.5" customHeight="1" s="408">
      <c r="A37" s="410" t="n"/>
      <c r="B37" s="410" t="n"/>
      <c r="C37" s="410" t="n"/>
      <c r="D37" s="410" t="n"/>
      <c r="E37" s="410" t="n"/>
      <c r="F37" s="410" t="n"/>
      <c r="G37" s="410" t="n"/>
      <c r="H37" s="410" t="n"/>
      <c r="I37" s="410" t="n"/>
      <c r="J37" s="410" t="n"/>
      <c r="K37" s="410" t="n"/>
      <c r="L37" s="410" t="n"/>
      <c r="M37" s="410" t="n"/>
      <c r="N37" s="410" t="n"/>
      <c r="O37" s="410" t="n"/>
      <c r="P37" s="410" t="n"/>
      <c r="Q37" s="410" t="n"/>
      <c r="R37" s="410" t="n"/>
      <c r="S37" s="410" t="n"/>
      <c r="T37" s="410" t="n"/>
      <c r="U37" s="410" t="n"/>
      <c r="V37" s="410" t="n"/>
      <c r="W37" s="410" t="n"/>
      <c r="X37" s="410" t="n"/>
      <c r="Y37" s="410" t="n"/>
    </row>
    <row r="38" ht="16.5" customHeight="1" s="408">
      <c r="A38" s="410" t="n"/>
      <c r="B38" s="410" t="n"/>
      <c r="C38" s="410" t="n"/>
      <c r="D38" s="410" t="n"/>
      <c r="E38" s="410" t="n"/>
      <c r="F38" s="410" t="n"/>
      <c r="G38" s="410" t="n"/>
      <c r="H38" s="410" t="n"/>
      <c r="I38" s="410" t="n"/>
      <c r="J38" s="410" t="n"/>
      <c r="K38" s="410" t="n"/>
      <c r="L38" s="410" t="n"/>
      <c r="M38" s="410" t="n"/>
      <c r="N38" s="410" t="n"/>
      <c r="O38" s="410" t="n"/>
      <c r="P38" s="410" t="n"/>
      <c r="Q38" s="410" t="n"/>
      <c r="R38" s="410" t="n"/>
      <c r="S38" s="410" t="n"/>
      <c r="T38" s="410" t="n"/>
      <c r="U38" s="410" t="n"/>
      <c r="V38" s="410" t="n"/>
      <c r="W38" s="410" t="n"/>
      <c r="X38" s="410" t="n"/>
      <c r="Y38" s="410" t="n"/>
    </row>
    <row r="39" ht="16.5" customHeight="1" s="408">
      <c r="A39" s="410" t="n"/>
      <c r="B39" s="410" t="n"/>
      <c r="C39" s="410" t="n"/>
      <c r="D39" s="410" t="n"/>
      <c r="E39" s="410" t="n"/>
      <c r="F39" s="410" t="n"/>
      <c r="G39" s="410" t="n"/>
      <c r="H39" s="410" t="n"/>
      <c r="I39" s="410" t="n"/>
      <c r="J39" s="410" t="n"/>
      <c r="K39" s="410" t="n"/>
      <c r="L39" s="410" t="n"/>
      <c r="M39" s="410" t="n"/>
      <c r="N39" s="410" t="n"/>
      <c r="O39" s="410" t="n"/>
      <c r="P39" s="410" t="n"/>
      <c r="Q39" s="410" t="n"/>
      <c r="R39" s="410" t="n"/>
      <c r="S39" s="410" t="n"/>
      <c r="T39" s="410" t="n"/>
      <c r="U39" s="410" t="n"/>
      <c r="V39" s="410" t="n"/>
      <c r="W39" s="410" t="n"/>
      <c r="X39" s="410" t="n"/>
      <c r="Y39" s="410" t="n"/>
    </row>
    <row r="40" ht="16.5" customHeight="1" s="408">
      <c r="A40" s="410" t="n"/>
      <c r="B40" s="410" t="n"/>
      <c r="C40" s="410" t="n"/>
      <c r="D40" s="410" t="n"/>
      <c r="E40" s="410" t="n"/>
      <c r="F40" s="410" t="n"/>
      <c r="G40" s="410" t="n"/>
      <c r="H40" s="410" t="n"/>
      <c r="I40" s="410" t="n"/>
      <c r="J40" s="410" t="n"/>
      <c r="K40" s="410" t="n"/>
      <c r="L40" s="410" t="n"/>
      <c r="M40" s="410" t="n"/>
      <c r="N40" s="410" t="n"/>
      <c r="O40" s="410" t="n"/>
      <c r="P40" s="410" t="n"/>
      <c r="Q40" s="410" t="n"/>
      <c r="R40" s="410" t="n"/>
      <c r="S40" s="410" t="n"/>
      <c r="T40" s="410" t="n"/>
      <c r="U40" s="410" t="n"/>
      <c r="V40" s="410" t="n"/>
      <c r="W40" s="410" t="n"/>
      <c r="X40" s="410" t="n"/>
      <c r="Y40" s="410" t="n"/>
    </row>
    <row r="41" ht="16.5" customHeight="1" s="408">
      <c r="A41" s="410" t="n"/>
      <c r="B41" s="410" t="n"/>
      <c r="C41" s="410" t="n"/>
      <c r="D41" s="410" t="n"/>
      <c r="E41" s="410" t="n"/>
      <c r="F41" s="410" t="n"/>
      <c r="G41" s="410" t="n"/>
      <c r="H41" s="410" t="n"/>
      <c r="I41" s="410" t="n"/>
      <c r="J41" s="410" t="n"/>
      <c r="K41" s="410" t="n"/>
      <c r="L41" s="410" t="n"/>
      <c r="M41" s="410" t="n"/>
      <c r="N41" s="410" t="n"/>
      <c r="O41" s="410" t="n"/>
      <c r="P41" s="410" t="n"/>
      <c r="Q41" s="410" t="n"/>
      <c r="R41" s="410" t="n"/>
      <c r="S41" s="410" t="n"/>
      <c r="T41" s="410" t="n"/>
      <c r="U41" s="410" t="n"/>
      <c r="V41" s="410" t="n"/>
      <c r="W41" s="410" t="n"/>
      <c r="X41" s="410" t="n"/>
      <c r="Y41" s="410" t="n"/>
    </row>
    <row r="42" ht="16.5" customHeight="1" s="408">
      <c r="A42" s="410" t="n"/>
      <c r="B42" s="410" t="n"/>
      <c r="C42" s="410" t="n"/>
      <c r="D42" s="410" t="n"/>
      <c r="E42" s="410" t="n"/>
      <c r="F42" s="410" t="n"/>
      <c r="G42" s="410" t="n"/>
      <c r="H42" s="410" t="n"/>
      <c r="I42" s="410" t="n"/>
      <c r="J42" s="410" t="n"/>
      <c r="K42" s="410" t="n"/>
      <c r="L42" s="410" t="n"/>
      <c r="M42" s="410" t="n"/>
      <c r="N42" s="410" t="n"/>
      <c r="O42" s="410" t="n"/>
      <c r="P42" s="410" t="n"/>
      <c r="Q42" s="410" t="n"/>
      <c r="R42" s="410" t="n"/>
      <c r="S42" s="410" t="n"/>
      <c r="T42" s="410" t="n"/>
      <c r="U42" s="410" t="n"/>
      <c r="V42" s="410" t="n"/>
      <c r="W42" s="410" t="n"/>
      <c r="X42" s="410" t="n"/>
      <c r="Y42" s="410" t="n"/>
    </row>
    <row r="43" ht="16.5" customHeight="1" s="408">
      <c r="A43" s="410" t="n"/>
      <c r="B43" s="410" t="n"/>
      <c r="C43" s="410" t="n"/>
      <c r="D43" s="410" t="n"/>
      <c r="E43" s="410" t="n"/>
      <c r="F43" s="410" t="n"/>
      <c r="G43" s="410" t="n"/>
      <c r="H43" s="410" t="n"/>
      <c r="I43" s="410" t="n"/>
      <c r="J43" s="410" t="n"/>
      <c r="K43" s="410" t="n"/>
      <c r="L43" s="410" t="n"/>
      <c r="M43" s="410" t="n"/>
      <c r="N43" s="410" t="n"/>
      <c r="O43" s="410" t="n"/>
      <c r="P43" s="410" t="n"/>
      <c r="Q43" s="410" t="n"/>
      <c r="R43" s="410" t="n"/>
      <c r="S43" s="410" t="n"/>
      <c r="T43" s="410" t="n"/>
      <c r="U43" s="410" t="n"/>
      <c r="V43" s="410" t="n"/>
      <c r="W43" s="410" t="n"/>
      <c r="X43" s="410" t="n"/>
      <c r="Y43" s="410" t="n"/>
    </row>
    <row r="44" ht="16.5" customHeight="1" s="408">
      <c r="A44" s="410" t="n"/>
      <c r="B44" s="410" t="n"/>
      <c r="C44" s="410" t="n"/>
      <c r="D44" s="410" t="n"/>
      <c r="E44" s="410" t="n"/>
      <c r="F44" s="410" t="n"/>
      <c r="G44" s="410" t="n"/>
      <c r="H44" s="410" t="n"/>
      <c r="I44" s="410" t="n"/>
      <c r="J44" s="410" t="n"/>
      <c r="K44" s="410" t="n"/>
      <c r="L44" s="410" t="n"/>
      <c r="M44" s="410" t="n"/>
      <c r="N44" s="410" t="n"/>
      <c r="O44" s="410" t="n"/>
      <c r="P44" s="410" t="n"/>
      <c r="Q44" s="410" t="n"/>
      <c r="R44" s="410" t="n"/>
      <c r="S44" s="410" t="n"/>
      <c r="T44" s="410" t="n"/>
      <c r="U44" s="410" t="n"/>
      <c r="V44" s="410" t="n"/>
      <c r="W44" s="410" t="n"/>
      <c r="X44" s="410" t="n"/>
      <c r="Y44" s="410" t="n"/>
    </row>
    <row r="45" ht="16.5" customHeight="1" s="408">
      <c r="A45" s="410" t="n"/>
      <c r="B45" s="410" t="n"/>
      <c r="C45" s="410" t="n"/>
      <c r="D45" s="410" t="n"/>
      <c r="E45" s="410" t="n"/>
      <c r="F45" s="410" t="n"/>
      <c r="G45" s="410" t="n"/>
      <c r="H45" s="410" t="n"/>
      <c r="I45" s="410" t="n"/>
      <c r="J45" s="410" t="n"/>
      <c r="K45" s="410" t="n"/>
      <c r="L45" s="410" t="n"/>
      <c r="M45" s="410" t="n"/>
      <c r="N45" s="410" t="n"/>
      <c r="O45" s="410" t="n"/>
      <c r="P45" s="410" t="n"/>
      <c r="Q45" s="410" t="n"/>
      <c r="R45" s="410" t="n"/>
      <c r="S45" s="410" t="n"/>
      <c r="T45" s="410" t="n"/>
      <c r="U45" s="410" t="n"/>
      <c r="V45" s="410" t="n"/>
      <c r="W45" s="410" t="n"/>
      <c r="X45" s="410" t="n"/>
      <c r="Y45" s="410" t="n"/>
    </row>
    <row r="46" ht="16.5" customHeight="1" s="408">
      <c r="A46" s="410" t="n"/>
      <c r="B46" s="410" t="n"/>
      <c r="C46" s="410" t="n"/>
      <c r="D46" s="410" t="n"/>
      <c r="E46" s="410" t="n"/>
      <c r="F46" s="410" t="n"/>
      <c r="G46" s="410" t="n"/>
      <c r="H46" s="410" t="n"/>
      <c r="I46" s="410" t="n"/>
      <c r="J46" s="410" t="n"/>
      <c r="K46" s="410" t="n"/>
      <c r="L46" s="410" t="n"/>
      <c r="M46" s="410" t="n"/>
      <c r="N46" s="410" t="n"/>
      <c r="O46" s="410" t="n"/>
      <c r="P46" s="410" t="n"/>
      <c r="Q46" s="410" t="n"/>
      <c r="R46" s="410" t="n"/>
      <c r="S46" s="410" t="n"/>
      <c r="T46" s="410" t="n"/>
      <c r="U46" s="410" t="n"/>
      <c r="V46" s="410" t="n"/>
      <c r="W46" s="410" t="n"/>
      <c r="X46" s="410" t="n"/>
      <c r="Y46" s="410" t="n"/>
    </row>
    <row r="47" ht="16.5" customHeight="1" s="408">
      <c r="A47" s="410" t="n"/>
      <c r="B47" s="410" t="n"/>
      <c r="C47" s="410" t="n"/>
      <c r="D47" s="410" t="n"/>
      <c r="E47" s="410" t="n"/>
      <c r="F47" s="410" t="n"/>
      <c r="G47" s="410" t="n"/>
      <c r="H47" s="410" t="n"/>
      <c r="I47" s="410" t="n"/>
      <c r="J47" s="410" t="n"/>
      <c r="K47" s="410" t="n"/>
      <c r="L47" s="410" t="n"/>
      <c r="M47" s="410" t="n"/>
      <c r="N47" s="410" t="n"/>
      <c r="O47" s="410" t="n"/>
      <c r="P47" s="410" t="n"/>
      <c r="Q47" s="410" t="n"/>
      <c r="R47" s="410" t="n"/>
      <c r="S47" s="410" t="n"/>
      <c r="T47" s="410" t="n"/>
      <c r="U47" s="410" t="n"/>
      <c r="V47" s="410" t="n"/>
      <c r="W47" s="410" t="n"/>
      <c r="X47" s="410" t="n"/>
      <c r="Y47" s="410" t="n"/>
    </row>
    <row r="48" ht="16.5" customHeight="1" s="408">
      <c r="A48" s="410" t="n"/>
      <c r="B48" s="410" t="n"/>
      <c r="C48" s="410" t="n"/>
      <c r="D48" s="410" t="n"/>
      <c r="E48" s="410" t="n"/>
      <c r="F48" s="410" t="n"/>
      <c r="G48" s="410" t="n"/>
      <c r="H48" s="410" t="n"/>
      <c r="I48" s="410" t="n"/>
      <c r="J48" s="410" t="n"/>
      <c r="K48" s="410" t="n"/>
      <c r="L48" s="410" t="n"/>
      <c r="M48" s="410" t="n"/>
      <c r="N48" s="410" t="n"/>
      <c r="O48" s="410" t="n"/>
      <c r="P48" s="410" t="n"/>
      <c r="Q48" s="410" t="n"/>
      <c r="R48" s="410" t="n"/>
      <c r="S48" s="410" t="n"/>
      <c r="T48" s="410" t="n"/>
      <c r="U48" s="410" t="n"/>
      <c r="V48" s="410" t="n"/>
      <c r="W48" s="410" t="n"/>
      <c r="X48" s="410" t="n"/>
      <c r="Y48" s="410" t="n"/>
    </row>
    <row r="49" ht="16.5" customHeight="1" s="408">
      <c r="A49" s="410" t="n"/>
      <c r="B49" s="410" t="n"/>
      <c r="C49" s="410" t="n"/>
      <c r="D49" s="410" t="n"/>
      <c r="E49" s="410" t="n"/>
      <c r="F49" s="410" t="n"/>
      <c r="G49" s="410" t="n"/>
      <c r="H49" s="410" t="n"/>
      <c r="I49" s="410" t="n"/>
      <c r="J49" s="410" t="n"/>
      <c r="K49" s="410" t="n"/>
      <c r="L49" s="410" t="n"/>
      <c r="M49" s="410" t="n"/>
      <c r="N49" s="410" t="n"/>
      <c r="O49" s="410" t="n"/>
      <c r="P49" s="410" t="n"/>
      <c r="Q49" s="410" t="n"/>
      <c r="R49" s="410" t="n"/>
      <c r="S49" s="410" t="n"/>
      <c r="T49" s="410" t="n"/>
      <c r="U49" s="410" t="n"/>
      <c r="V49" s="410" t="n"/>
      <c r="W49" s="410" t="n"/>
      <c r="X49" s="410" t="n"/>
      <c r="Y49" s="410" t="n"/>
    </row>
    <row r="50" ht="16.5" customHeight="1" s="408">
      <c r="A50" s="410" t="n"/>
      <c r="B50" s="410" t="n"/>
      <c r="C50" s="410" t="n"/>
      <c r="D50" s="410" t="n"/>
      <c r="E50" s="410" t="n"/>
      <c r="F50" s="410" t="n"/>
      <c r="G50" s="410" t="n"/>
      <c r="H50" s="410" t="n"/>
      <c r="I50" s="410" t="n"/>
      <c r="J50" s="410" t="n"/>
      <c r="K50" s="410" t="n"/>
      <c r="L50" s="410" t="n"/>
      <c r="M50" s="410" t="n"/>
      <c r="N50" s="410" t="n"/>
      <c r="O50" s="410" t="n"/>
      <c r="P50" s="410" t="n"/>
      <c r="Q50" s="410" t="n"/>
      <c r="R50" s="410" t="n"/>
      <c r="S50" s="410" t="n"/>
      <c r="T50" s="410" t="n"/>
      <c r="U50" s="410" t="n"/>
      <c r="V50" s="410" t="n"/>
      <c r="W50" s="410" t="n"/>
      <c r="X50" s="410" t="n"/>
      <c r="Y50" s="410" t="n"/>
    </row>
    <row r="51" ht="16.5" customHeight="1" s="408">
      <c r="A51" s="410" t="n"/>
      <c r="B51" s="410" t="n"/>
      <c r="C51" s="410" t="n"/>
      <c r="D51" s="410" t="n"/>
      <c r="E51" s="410" t="n"/>
      <c r="F51" s="410" t="n"/>
      <c r="G51" s="410" t="n"/>
      <c r="H51" s="410" t="n"/>
      <c r="I51" s="410" t="n"/>
      <c r="J51" s="410" t="n"/>
      <c r="K51" s="410" t="n"/>
      <c r="L51" s="410" t="n"/>
      <c r="M51" s="410" t="n"/>
      <c r="N51" s="410" t="n"/>
      <c r="O51" s="410" t="n"/>
      <c r="P51" s="410" t="n"/>
      <c r="Q51" s="410" t="n"/>
      <c r="R51" s="410" t="n"/>
      <c r="S51" s="410" t="n"/>
      <c r="T51" s="410" t="n"/>
      <c r="U51" s="410" t="n"/>
      <c r="V51" s="410" t="n"/>
      <c r="W51" s="410" t="n"/>
      <c r="X51" s="410" t="n"/>
      <c r="Y51" s="410" t="n"/>
    </row>
    <row r="52" ht="16.5" customHeight="1" s="408">
      <c r="A52" s="410" t="n"/>
      <c r="B52" s="410" t="n"/>
      <c r="C52" s="410" t="n"/>
      <c r="D52" s="410" t="n"/>
      <c r="E52" s="410" t="n"/>
      <c r="F52" s="410" t="n"/>
      <c r="G52" s="410" t="n"/>
      <c r="H52" s="410" t="n"/>
      <c r="I52" s="410" t="n"/>
      <c r="J52" s="410" t="n"/>
      <c r="K52" s="410" t="n"/>
      <c r="L52" s="410" t="n"/>
      <c r="M52" s="410" t="n"/>
      <c r="N52" s="410" t="n"/>
      <c r="O52" s="410" t="n"/>
      <c r="P52" s="410" t="n"/>
      <c r="Q52" s="410" t="n"/>
      <c r="R52" s="410" t="n"/>
      <c r="S52" s="410" t="n"/>
      <c r="T52" s="410" t="n"/>
      <c r="U52" s="410" t="n"/>
      <c r="V52" s="410" t="n"/>
      <c r="W52" s="410" t="n"/>
      <c r="X52" s="410" t="n"/>
      <c r="Y52" s="410" t="n"/>
    </row>
    <row r="53" ht="16.5" customHeight="1" s="408">
      <c r="A53" s="410" t="n"/>
      <c r="B53" s="410" t="n"/>
      <c r="C53" s="410" t="n"/>
      <c r="D53" s="410" t="n"/>
      <c r="E53" s="410" t="n"/>
      <c r="F53" s="410" t="n"/>
      <c r="G53" s="410" t="n"/>
      <c r="H53" s="410" t="n"/>
      <c r="I53" s="410" t="n"/>
      <c r="J53" s="410" t="n"/>
      <c r="K53" s="410" t="n"/>
      <c r="L53" s="410" t="n"/>
      <c r="M53" s="410" t="n"/>
      <c r="N53" s="410" t="n"/>
      <c r="O53" s="410" t="n"/>
      <c r="P53" s="410" t="n"/>
      <c r="Q53" s="410" t="n"/>
      <c r="R53" s="410" t="n"/>
      <c r="S53" s="410" t="n"/>
      <c r="T53" s="410" t="n"/>
      <c r="U53" s="410" t="n"/>
      <c r="V53" s="410" t="n"/>
      <c r="W53" s="410" t="n"/>
      <c r="X53" s="410" t="n"/>
      <c r="Y53" s="410" t="n"/>
    </row>
    <row r="54" ht="16.5" customHeight="1" s="408">
      <c r="A54" s="410" t="n"/>
      <c r="B54" s="410" t="n"/>
      <c r="C54" s="410" t="n"/>
      <c r="D54" s="410" t="n"/>
      <c r="E54" s="410" t="n"/>
      <c r="F54" s="410" t="n"/>
      <c r="G54" s="410" t="n"/>
      <c r="H54" s="410" t="n"/>
      <c r="I54" s="410" t="n"/>
      <c r="J54" s="410" t="n"/>
      <c r="K54" s="410" t="n"/>
      <c r="L54" s="410" t="n"/>
      <c r="M54" s="410" t="n"/>
      <c r="N54" s="410" t="n"/>
      <c r="O54" s="410" t="n"/>
      <c r="P54" s="410" t="n"/>
      <c r="Q54" s="410" t="n"/>
      <c r="R54" s="410" t="n"/>
      <c r="S54" s="410" t="n"/>
      <c r="T54" s="410" t="n"/>
      <c r="U54" s="410" t="n"/>
      <c r="V54" s="410" t="n"/>
      <c r="W54" s="410" t="n"/>
      <c r="X54" s="410" t="n"/>
      <c r="Y54" s="410" t="n"/>
    </row>
    <row r="55" ht="16.5" customHeight="1" s="408">
      <c r="A55" s="410" t="n"/>
      <c r="B55" s="410" t="n"/>
      <c r="C55" s="410" t="n"/>
      <c r="D55" s="410" t="n"/>
      <c r="E55" s="410" t="n"/>
      <c r="F55" s="410" t="n"/>
      <c r="G55" s="410" t="n"/>
      <c r="H55" s="410" t="n"/>
      <c r="I55" s="410" t="n"/>
      <c r="J55" s="410" t="n"/>
      <c r="K55" s="410" t="n"/>
      <c r="L55" s="410" t="n"/>
      <c r="M55" s="410" t="n"/>
      <c r="N55" s="410" t="n"/>
      <c r="O55" s="410" t="n"/>
      <c r="P55" s="410" t="n"/>
      <c r="Q55" s="410" t="n"/>
      <c r="R55" s="410" t="n"/>
      <c r="S55" s="410" t="n"/>
      <c r="T55" s="410" t="n"/>
      <c r="U55" s="410" t="n"/>
      <c r="V55" s="410" t="n"/>
      <c r="W55" s="410" t="n"/>
      <c r="X55" s="410" t="n"/>
      <c r="Y55" s="410" t="n"/>
    </row>
    <row r="56" ht="16.5" customHeight="1" s="408">
      <c r="A56" s="410" t="n"/>
      <c r="B56" s="410" t="n"/>
      <c r="C56" s="410" t="n"/>
      <c r="D56" s="410" t="n"/>
      <c r="E56" s="410" t="n"/>
      <c r="F56" s="410" t="n"/>
      <c r="G56" s="410" t="n"/>
      <c r="H56" s="410" t="n"/>
      <c r="I56" s="410" t="n"/>
      <c r="J56" s="410" t="n"/>
      <c r="K56" s="410" t="n"/>
      <c r="L56" s="410" t="n"/>
      <c r="M56" s="410" t="n"/>
      <c r="N56" s="410" t="n"/>
      <c r="O56" s="410" t="n"/>
      <c r="P56" s="410" t="n"/>
      <c r="Q56" s="410" t="n"/>
      <c r="R56" s="410" t="n"/>
      <c r="S56" s="410" t="n"/>
      <c r="T56" s="410" t="n"/>
      <c r="U56" s="410" t="n"/>
      <c r="V56" s="410" t="n"/>
      <c r="W56" s="410" t="n"/>
      <c r="X56" s="410" t="n"/>
      <c r="Y56" s="410" t="n"/>
    </row>
    <row r="57" ht="16.5" customHeight="1" s="408">
      <c r="A57" s="410" t="n"/>
      <c r="B57" s="410" t="n"/>
      <c r="C57" s="410" t="n"/>
      <c r="D57" s="410" t="n"/>
      <c r="E57" s="410" t="n"/>
      <c r="F57" s="410" t="n"/>
      <c r="G57" s="410" t="n"/>
      <c r="H57" s="410" t="n"/>
      <c r="I57" s="410" t="n"/>
      <c r="J57" s="410" t="n"/>
      <c r="K57" s="410" t="n"/>
      <c r="L57" s="410" t="n"/>
      <c r="M57" s="410" t="n"/>
      <c r="N57" s="410" t="n"/>
      <c r="O57" s="410" t="n"/>
      <c r="P57" s="410" t="n"/>
      <c r="Q57" s="410" t="n"/>
      <c r="R57" s="410" t="n"/>
      <c r="S57" s="410" t="n"/>
      <c r="T57" s="410" t="n"/>
      <c r="U57" s="410" t="n"/>
      <c r="V57" s="410" t="n"/>
      <c r="W57" s="410" t="n"/>
      <c r="X57" s="410" t="n"/>
      <c r="Y57" s="410" t="n"/>
    </row>
    <row r="58" ht="16.5" customHeight="1" s="408">
      <c r="A58" s="410" t="n"/>
      <c r="B58" s="410" t="n"/>
      <c r="C58" s="410" t="n"/>
      <c r="D58" s="410" t="n"/>
      <c r="E58" s="410" t="n"/>
      <c r="F58" s="410" t="n"/>
      <c r="G58" s="410" t="n"/>
      <c r="H58" s="410" t="n"/>
      <c r="I58" s="410" t="n"/>
      <c r="J58" s="410" t="n"/>
      <c r="K58" s="410" t="n"/>
      <c r="L58" s="410" t="n"/>
      <c r="M58" s="410" t="n"/>
      <c r="N58" s="410" t="n"/>
      <c r="O58" s="410" t="n"/>
      <c r="P58" s="410" t="n"/>
      <c r="Q58" s="410" t="n"/>
      <c r="R58" s="410" t="n"/>
      <c r="S58" s="410" t="n"/>
      <c r="T58" s="410" t="n"/>
      <c r="U58" s="410" t="n"/>
      <c r="V58" s="410" t="n"/>
      <c r="W58" s="410" t="n"/>
      <c r="X58" s="410" t="n"/>
      <c r="Y58" s="410" t="n"/>
    </row>
    <row r="59" ht="16.5" customHeight="1" s="408">
      <c r="A59" s="410" t="n"/>
      <c r="B59" s="410" t="n"/>
      <c r="C59" s="410" t="n"/>
      <c r="D59" s="410" t="n"/>
      <c r="E59" s="410" t="n"/>
      <c r="F59" s="410" t="n"/>
      <c r="G59" s="410" t="n"/>
      <c r="H59" s="410" t="n"/>
      <c r="I59" s="410" t="n"/>
      <c r="J59" s="410" t="n"/>
      <c r="K59" s="410" t="n"/>
      <c r="L59" s="410" t="n"/>
      <c r="M59" s="410" t="n"/>
      <c r="N59" s="410" t="n"/>
      <c r="O59" s="410" t="n"/>
      <c r="P59" s="410" t="n"/>
      <c r="Q59" s="410" t="n"/>
      <c r="R59" s="410" t="n"/>
      <c r="S59" s="410" t="n"/>
      <c r="T59" s="410" t="n"/>
      <c r="U59" s="410" t="n"/>
      <c r="V59" s="410" t="n"/>
      <c r="W59" s="410" t="n"/>
      <c r="X59" s="410" t="n"/>
      <c r="Y59" s="410" t="n"/>
    </row>
    <row r="60" ht="16.5" customHeight="1" s="408">
      <c r="A60" s="410" t="n"/>
      <c r="B60" s="410" t="n"/>
      <c r="C60" s="410" t="n"/>
      <c r="D60" s="410" t="n"/>
      <c r="E60" s="410" t="n"/>
      <c r="F60" s="410" t="n"/>
      <c r="G60" s="410" t="n"/>
      <c r="H60" s="410" t="n"/>
      <c r="I60" s="410" t="n"/>
      <c r="J60" s="410" t="n"/>
      <c r="K60" s="410" t="n"/>
      <c r="L60" s="410" t="n"/>
      <c r="M60" s="410" t="n"/>
      <c r="N60" s="410" t="n"/>
      <c r="O60" s="410" t="n"/>
      <c r="P60" s="410" t="n"/>
      <c r="Q60" s="410" t="n"/>
      <c r="R60" s="410" t="n"/>
      <c r="S60" s="410" t="n"/>
      <c r="T60" s="410" t="n"/>
      <c r="U60" s="410" t="n"/>
      <c r="V60" s="410" t="n"/>
      <c r="W60" s="410" t="n"/>
      <c r="X60" s="410" t="n"/>
      <c r="Y60" s="410" t="n"/>
    </row>
    <row r="61" ht="16.5" customHeight="1" s="408">
      <c r="A61" s="410" t="n"/>
      <c r="B61" s="410" t="n"/>
      <c r="C61" s="410" t="n"/>
      <c r="D61" s="410" t="n"/>
      <c r="E61" s="410" t="n"/>
      <c r="F61" s="410" t="n"/>
      <c r="G61" s="410" t="n"/>
      <c r="H61" s="410" t="n"/>
      <c r="I61" s="410" t="n"/>
      <c r="J61" s="410" t="n"/>
      <c r="K61" s="410" t="n"/>
      <c r="L61" s="410" t="n"/>
      <c r="M61" s="410" t="n"/>
      <c r="N61" s="410" t="n"/>
      <c r="O61" s="410" t="n"/>
      <c r="P61" s="410" t="n"/>
      <c r="Q61" s="410" t="n"/>
      <c r="R61" s="410" t="n"/>
      <c r="S61" s="410" t="n"/>
      <c r="T61" s="410" t="n"/>
      <c r="U61" s="410" t="n"/>
      <c r="V61" s="410" t="n"/>
      <c r="W61" s="410" t="n"/>
      <c r="X61" s="410" t="n"/>
      <c r="Y61" s="410" t="n"/>
    </row>
    <row r="62" ht="16.5" customHeight="1" s="408">
      <c r="A62" s="410" t="n"/>
      <c r="B62" s="410" t="n"/>
      <c r="C62" s="410" t="n"/>
      <c r="D62" s="410" t="n"/>
      <c r="E62" s="410" t="n"/>
      <c r="F62" s="410" t="n"/>
      <c r="G62" s="410" t="n"/>
      <c r="H62" s="410" t="n"/>
      <c r="I62" s="410" t="n"/>
      <c r="J62" s="410" t="n"/>
      <c r="K62" s="410" t="n"/>
      <c r="L62" s="410" t="n"/>
      <c r="M62" s="410" t="n"/>
      <c r="N62" s="410" t="n"/>
      <c r="O62" s="410" t="n"/>
      <c r="P62" s="410" t="n"/>
      <c r="Q62" s="410" t="n"/>
      <c r="R62" s="410" t="n"/>
      <c r="S62" s="410" t="n"/>
      <c r="T62" s="410" t="n"/>
      <c r="U62" s="410" t="n"/>
      <c r="V62" s="410" t="n"/>
      <c r="W62" s="410" t="n"/>
      <c r="X62" s="410" t="n"/>
      <c r="Y62" s="410" t="n"/>
    </row>
    <row r="63" ht="16.5" customHeight="1" s="408">
      <c r="A63" s="410" t="n"/>
      <c r="B63" s="410" t="n"/>
      <c r="C63" s="410" t="n"/>
      <c r="D63" s="410" t="n"/>
      <c r="E63" s="410" t="n"/>
      <c r="F63" s="410" t="n"/>
      <c r="G63" s="410" t="n"/>
      <c r="H63" s="410" t="n"/>
      <c r="I63" s="410" t="n"/>
      <c r="J63" s="410" t="n"/>
      <c r="K63" s="410" t="n"/>
      <c r="L63" s="410" t="n"/>
      <c r="M63" s="410" t="n"/>
      <c r="N63" s="410" t="n"/>
      <c r="O63" s="410" t="n"/>
      <c r="P63" s="410" t="n"/>
      <c r="Q63" s="410" t="n"/>
      <c r="R63" s="410" t="n"/>
      <c r="S63" s="410" t="n"/>
      <c r="T63" s="410" t="n"/>
      <c r="U63" s="410" t="n"/>
      <c r="V63" s="410" t="n"/>
      <c r="W63" s="410" t="n"/>
      <c r="X63" s="410" t="n"/>
      <c r="Y63" s="410" t="n"/>
    </row>
    <row r="64" ht="16.5" customHeight="1" s="408">
      <c r="A64" s="410" t="n"/>
      <c r="B64" s="410" t="n"/>
      <c r="C64" s="410" t="n"/>
      <c r="D64" s="410" t="n"/>
      <c r="E64" s="410" t="n"/>
      <c r="F64" s="410" t="n"/>
      <c r="G64" s="410" t="n"/>
      <c r="H64" s="410" t="n"/>
      <c r="I64" s="410" t="n"/>
      <c r="J64" s="410" t="n"/>
      <c r="K64" s="410" t="n"/>
      <c r="L64" s="410" t="n"/>
      <c r="M64" s="410" t="n"/>
      <c r="N64" s="410" t="n"/>
      <c r="O64" s="410" t="n"/>
      <c r="P64" s="410" t="n"/>
      <c r="Q64" s="410" t="n"/>
      <c r="R64" s="410" t="n"/>
      <c r="S64" s="410" t="n"/>
      <c r="T64" s="410" t="n"/>
      <c r="U64" s="410" t="n"/>
      <c r="V64" s="410" t="n"/>
      <c r="W64" s="410" t="n"/>
      <c r="X64" s="410" t="n"/>
      <c r="Y64" s="410" t="n"/>
    </row>
    <row r="65" ht="16.5" customHeight="1" s="408">
      <c r="A65" s="410" t="n"/>
      <c r="B65" s="410" t="n"/>
      <c r="C65" s="410" t="n"/>
      <c r="D65" s="410" t="n"/>
      <c r="E65" s="410" t="n"/>
      <c r="F65" s="410" t="n"/>
      <c r="G65" s="410" t="n"/>
      <c r="H65" s="410" t="n"/>
      <c r="I65" s="410" t="n"/>
      <c r="J65" s="410" t="n"/>
      <c r="K65" s="410" t="n"/>
      <c r="L65" s="410" t="n"/>
      <c r="M65" s="410" t="n"/>
      <c r="N65" s="410" t="n"/>
      <c r="O65" s="410" t="n"/>
      <c r="P65" s="410" t="n"/>
      <c r="Q65" s="410" t="n"/>
      <c r="R65" s="410" t="n"/>
      <c r="S65" s="410" t="n"/>
      <c r="T65" s="410" t="n"/>
      <c r="U65" s="410" t="n"/>
      <c r="V65" s="410" t="n"/>
      <c r="W65" s="410" t="n"/>
      <c r="X65" s="410" t="n"/>
      <c r="Y65" s="410" t="n"/>
    </row>
    <row r="66" ht="16.5" customHeight="1" s="408">
      <c r="A66" s="410" t="n"/>
      <c r="B66" s="410" t="n"/>
      <c r="C66" s="410" t="n"/>
      <c r="D66" s="410" t="n"/>
      <c r="E66" s="410" t="n"/>
      <c r="F66" s="410" t="n"/>
      <c r="G66" s="410" t="n"/>
      <c r="H66" s="410" t="n"/>
      <c r="I66" s="410" t="n"/>
      <c r="J66" s="410" t="n"/>
      <c r="K66" s="410" t="n"/>
      <c r="L66" s="410" t="n"/>
      <c r="M66" s="410" t="n"/>
      <c r="N66" s="410" t="n"/>
      <c r="O66" s="410" t="n"/>
      <c r="P66" s="410" t="n"/>
      <c r="Q66" s="410" t="n"/>
      <c r="R66" s="410" t="n"/>
      <c r="S66" s="410" t="n"/>
      <c r="T66" s="410" t="n"/>
      <c r="U66" s="410" t="n"/>
      <c r="V66" s="410" t="n"/>
      <c r="W66" s="410" t="n"/>
      <c r="X66" s="410" t="n"/>
      <c r="Y66" s="410" t="n"/>
    </row>
    <row r="67" ht="16.5" customHeight="1" s="408">
      <c r="A67" s="410" t="n"/>
      <c r="B67" s="410" t="n"/>
      <c r="C67" s="410" t="n"/>
      <c r="D67" s="410" t="n"/>
      <c r="E67" s="410" t="n"/>
      <c r="F67" s="410" t="n"/>
      <c r="G67" s="410" t="n"/>
      <c r="H67" s="410" t="n"/>
      <c r="I67" s="410" t="n"/>
      <c r="J67" s="410" t="n"/>
      <c r="K67" s="410" t="n"/>
      <c r="L67" s="410" t="n"/>
      <c r="M67" s="410" t="n"/>
      <c r="N67" s="410" t="n"/>
      <c r="O67" s="410" t="n"/>
      <c r="P67" s="410" t="n"/>
      <c r="Q67" s="410" t="n"/>
      <c r="R67" s="410" t="n"/>
      <c r="S67" s="410" t="n"/>
      <c r="T67" s="410" t="n"/>
      <c r="U67" s="410" t="n"/>
      <c r="V67" s="410" t="n"/>
      <c r="W67" s="410" t="n"/>
      <c r="X67" s="410" t="n"/>
      <c r="Y67" s="410" t="n"/>
    </row>
    <row r="68" ht="16.5" customHeight="1" s="408">
      <c r="A68" s="410" t="n"/>
      <c r="B68" s="410" t="n"/>
      <c r="C68" s="410" t="n"/>
      <c r="D68" s="410" t="n"/>
      <c r="E68" s="410" t="n"/>
      <c r="F68" s="410" t="n"/>
      <c r="G68" s="410" t="n"/>
      <c r="H68" s="410" t="n"/>
      <c r="I68" s="410" t="n"/>
      <c r="J68" s="410" t="n"/>
      <c r="K68" s="410" t="n"/>
      <c r="L68" s="410" t="n"/>
      <c r="M68" s="410" t="n"/>
      <c r="N68" s="410" t="n"/>
      <c r="O68" s="410" t="n"/>
      <c r="P68" s="410" t="n"/>
      <c r="Q68" s="410" t="n"/>
      <c r="R68" s="410" t="n"/>
      <c r="S68" s="410" t="n"/>
      <c r="T68" s="410" t="n"/>
      <c r="U68" s="410" t="n"/>
      <c r="V68" s="410" t="n"/>
      <c r="W68" s="410" t="n"/>
      <c r="X68" s="410" t="n"/>
      <c r="Y68" s="410" t="n"/>
    </row>
    <row r="69" ht="16.5" customHeight="1" s="408">
      <c r="A69" s="410" t="n"/>
      <c r="B69" s="410" t="n"/>
      <c r="C69" s="410" t="n"/>
      <c r="D69" s="410" t="n"/>
      <c r="E69" s="410" t="n"/>
      <c r="F69" s="410" t="n"/>
      <c r="G69" s="410" t="n"/>
      <c r="H69" s="410" t="n"/>
      <c r="I69" s="410" t="n"/>
      <c r="J69" s="410" t="n"/>
      <c r="K69" s="410" t="n"/>
      <c r="L69" s="410" t="n"/>
      <c r="M69" s="410" t="n"/>
      <c r="N69" s="410" t="n"/>
      <c r="O69" s="410" t="n"/>
      <c r="P69" s="410" t="n"/>
      <c r="Q69" s="410" t="n"/>
      <c r="R69" s="410" t="n"/>
      <c r="S69" s="410" t="n"/>
      <c r="T69" s="410" t="n"/>
      <c r="U69" s="410" t="n"/>
      <c r="V69" s="410" t="n"/>
      <c r="W69" s="410" t="n"/>
      <c r="X69" s="410" t="n"/>
      <c r="Y69" s="410" t="n"/>
    </row>
    <row r="70" ht="16.5" customHeight="1" s="408">
      <c r="A70" s="410" t="n"/>
      <c r="B70" s="410" t="n"/>
      <c r="C70" s="410" t="n"/>
      <c r="D70" s="410" t="n"/>
      <c r="E70" s="410" t="n"/>
      <c r="F70" s="410" t="n"/>
      <c r="G70" s="410" t="n"/>
      <c r="H70" s="410" t="n"/>
      <c r="I70" s="410" t="n"/>
      <c r="J70" s="410" t="n"/>
      <c r="K70" s="410" t="n"/>
      <c r="L70" s="410" t="n"/>
      <c r="M70" s="410" t="n"/>
      <c r="N70" s="410" t="n"/>
      <c r="O70" s="410" t="n"/>
      <c r="P70" s="410" t="n"/>
      <c r="Q70" s="410" t="n"/>
      <c r="R70" s="410" t="n"/>
      <c r="S70" s="410" t="n"/>
      <c r="T70" s="410" t="n"/>
      <c r="U70" s="410" t="n"/>
      <c r="V70" s="410" t="n"/>
      <c r="W70" s="410" t="n"/>
      <c r="X70" s="410" t="n"/>
      <c r="Y70" s="410" t="n"/>
    </row>
    <row r="71" ht="16.5" customHeight="1" s="408">
      <c r="A71" s="410" t="n"/>
      <c r="B71" s="410" t="n"/>
      <c r="C71" s="410" t="n"/>
      <c r="D71" s="410" t="n"/>
      <c r="E71" s="410" t="n"/>
      <c r="F71" s="410" t="n"/>
      <c r="G71" s="410" t="n"/>
      <c r="H71" s="410" t="n"/>
      <c r="I71" s="410" t="n"/>
      <c r="J71" s="410" t="n"/>
      <c r="K71" s="410" t="n"/>
      <c r="L71" s="410" t="n"/>
      <c r="M71" s="410" t="n"/>
      <c r="N71" s="410" t="n"/>
      <c r="O71" s="410" t="n"/>
      <c r="P71" s="410" t="n"/>
      <c r="Q71" s="410" t="n"/>
      <c r="R71" s="410" t="n"/>
      <c r="S71" s="410" t="n"/>
      <c r="T71" s="410" t="n"/>
      <c r="U71" s="410" t="n"/>
      <c r="V71" s="410" t="n"/>
      <c r="W71" s="410" t="n"/>
      <c r="X71" s="410" t="n"/>
      <c r="Y71" s="410" t="n"/>
    </row>
    <row r="72" ht="16.5" customHeight="1" s="408">
      <c r="A72" s="410" t="n"/>
      <c r="B72" s="410" t="n"/>
      <c r="C72" s="410" t="n"/>
      <c r="D72" s="410" t="n"/>
      <c r="E72" s="410" t="n"/>
      <c r="F72" s="410" t="n"/>
      <c r="G72" s="410" t="n"/>
      <c r="H72" s="410" t="n"/>
      <c r="I72" s="410" t="n"/>
      <c r="J72" s="410" t="n"/>
      <c r="K72" s="410" t="n"/>
      <c r="L72" s="410" t="n"/>
      <c r="M72" s="410" t="n"/>
      <c r="N72" s="410" t="n"/>
      <c r="O72" s="410" t="n"/>
      <c r="P72" s="410" t="n"/>
      <c r="Q72" s="410" t="n"/>
      <c r="R72" s="410" t="n"/>
      <c r="S72" s="410" t="n"/>
      <c r="T72" s="410" t="n"/>
      <c r="U72" s="410" t="n"/>
      <c r="V72" s="410" t="n"/>
      <c r="W72" s="410" t="n"/>
      <c r="X72" s="410" t="n"/>
      <c r="Y72" s="410" t="n"/>
    </row>
    <row r="73" ht="16.5" customHeight="1" s="408">
      <c r="A73" s="410" t="n"/>
      <c r="B73" s="410" t="n"/>
      <c r="C73" s="410" t="n"/>
      <c r="D73" s="410" t="n"/>
      <c r="E73" s="410" t="n"/>
      <c r="F73" s="410" t="n"/>
      <c r="G73" s="410" t="n"/>
      <c r="H73" s="410" t="n"/>
      <c r="I73" s="410" t="n"/>
      <c r="J73" s="410" t="n"/>
      <c r="K73" s="410" t="n"/>
      <c r="L73" s="410" t="n"/>
      <c r="M73" s="410" t="n"/>
      <c r="N73" s="410" t="n"/>
      <c r="O73" s="410" t="n"/>
      <c r="P73" s="410" t="n"/>
      <c r="Q73" s="410" t="n"/>
      <c r="R73" s="410" t="n"/>
      <c r="S73" s="410" t="n"/>
      <c r="T73" s="410" t="n"/>
      <c r="U73" s="410" t="n"/>
      <c r="V73" s="410" t="n"/>
      <c r="W73" s="410" t="n"/>
      <c r="X73" s="410" t="n"/>
      <c r="Y73" s="410" t="n"/>
    </row>
    <row r="74" ht="16.5" customHeight="1" s="408">
      <c r="A74" s="410" t="n"/>
      <c r="B74" s="410" t="n"/>
      <c r="C74" s="410" t="n"/>
      <c r="D74" s="410" t="n"/>
      <c r="E74" s="410" t="n"/>
      <c r="F74" s="410" t="n"/>
      <c r="G74" s="410" t="n"/>
      <c r="H74" s="410" t="n"/>
      <c r="I74" s="410" t="n"/>
      <c r="J74" s="410" t="n"/>
      <c r="K74" s="410" t="n"/>
      <c r="L74" s="410" t="n"/>
      <c r="M74" s="410" t="n"/>
      <c r="N74" s="410" t="n"/>
      <c r="O74" s="410" t="n"/>
      <c r="P74" s="410" t="n"/>
      <c r="Q74" s="410" t="n"/>
      <c r="R74" s="410" t="n"/>
      <c r="S74" s="410" t="n"/>
      <c r="T74" s="410" t="n"/>
      <c r="U74" s="410" t="n"/>
      <c r="V74" s="410" t="n"/>
      <c r="W74" s="410" t="n"/>
      <c r="X74" s="410" t="n"/>
      <c r="Y74" s="410" t="n"/>
    </row>
    <row r="75" ht="16.5" customHeight="1" s="408">
      <c r="A75" s="410" t="n"/>
      <c r="B75" s="410" t="n"/>
      <c r="C75" s="410" t="n"/>
      <c r="D75" s="410" t="n"/>
      <c r="E75" s="410" t="n"/>
      <c r="F75" s="410" t="n"/>
      <c r="G75" s="410" t="n"/>
      <c r="H75" s="410" t="n"/>
      <c r="I75" s="410" t="n"/>
      <c r="J75" s="410" t="n"/>
      <c r="K75" s="410" t="n"/>
      <c r="L75" s="410" t="n"/>
      <c r="M75" s="410" t="n"/>
      <c r="N75" s="410" t="n"/>
      <c r="O75" s="410" t="n"/>
      <c r="P75" s="410" t="n"/>
      <c r="Q75" s="410" t="n"/>
      <c r="R75" s="410" t="n"/>
      <c r="S75" s="410" t="n"/>
      <c r="T75" s="410" t="n"/>
      <c r="U75" s="410" t="n"/>
      <c r="V75" s="410" t="n"/>
      <c r="W75" s="410" t="n"/>
      <c r="X75" s="410" t="n"/>
      <c r="Y75" s="410" t="n"/>
    </row>
    <row r="76" ht="16.5" customHeight="1" s="408">
      <c r="A76" s="410" t="n"/>
      <c r="B76" s="410" t="n"/>
      <c r="C76" s="410" t="n"/>
      <c r="D76" s="410" t="n"/>
      <c r="E76" s="410" t="n"/>
      <c r="F76" s="410" t="n"/>
      <c r="G76" s="410" t="n"/>
      <c r="H76" s="410" t="n"/>
      <c r="I76" s="410" t="n"/>
      <c r="J76" s="410" t="n"/>
      <c r="K76" s="410" t="n"/>
      <c r="L76" s="410" t="n"/>
      <c r="M76" s="410" t="n"/>
      <c r="N76" s="410" t="n"/>
      <c r="O76" s="410" t="n"/>
      <c r="P76" s="410" t="n"/>
      <c r="Q76" s="410" t="n"/>
      <c r="R76" s="410" t="n"/>
      <c r="S76" s="410" t="n"/>
      <c r="T76" s="410" t="n"/>
      <c r="U76" s="410" t="n"/>
      <c r="V76" s="410" t="n"/>
      <c r="W76" s="410" t="n"/>
      <c r="X76" s="410" t="n"/>
      <c r="Y76" s="410" t="n"/>
    </row>
    <row r="77" ht="16.5" customHeight="1" s="408">
      <c r="A77" s="410" t="n"/>
      <c r="B77" s="410" t="n"/>
      <c r="C77" s="410" t="n"/>
      <c r="D77" s="410" t="n"/>
      <c r="E77" s="410" t="n"/>
      <c r="F77" s="410" t="n"/>
      <c r="G77" s="410" t="n"/>
      <c r="H77" s="410" t="n"/>
      <c r="I77" s="410" t="n"/>
      <c r="J77" s="410" t="n"/>
      <c r="K77" s="410" t="n"/>
      <c r="L77" s="410" t="n"/>
      <c r="M77" s="410" t="n"/>
      <c r="N77" s="410" t="n"/>
      <c r="O77" s="410" t="n"/>
      <c r="P77" s="410" t="n"/>
      <c r="Q77" s="410" t="n"/>
      <c r="R77" s="410" t="n"/>
      <c r="S77" s="410" t="n"/>
      <c r="T77" s="410" t="n"/>
      <c r="U77" s="410" t="n"/>
      <c r="V77" s="410" t="n"/>
      <c r="W77" s="410" t="n"/>
      <c r="X77" s="410" t="n"/>
      <c r="Y77" s="410" t="n"/>
    </row>
    <row r="78" ht="16.5" customHeight="1" s="408">
      <c r="A78" s="410" t="n"/>
      <c r="B78" s="410" t="n"/>
      <c r="C78" s="410" t="n"/>
      <c r="D78" s="410" t="n"/>
      <c r="E78" s="410" t="n"/>
      <c r="F78" s="410" t="n"/>
      <c r="G78" s="410" t="n"/>
      <c r="H78" s="410" t="n"/>
      <c r="I78" s="410" t="n"/>
      <c r="J78" s="410" t="n"/>
      <c r="K78" s="410" t="n"/>
      <c r="L78" s="410" t="n"/>
      <c r="M78" s="410" t="n"/>
      <c r="N78" s="410" t="n"/>
      <c r="O78" s="410" t="n"/>
      <c r="P78" s="410" t="n"/>
      <c r="Q78" s="410" t="n"/>
      <c r="R78" s="410" t="n"/>
      <c r="S78" s="410" t="n"/>
      <c r="T78" s="410" t="n"/>
      <c r="U78" s="410" t="n"/>
      <c r="V78" s="410" t="n"/>
      <c r="W78" s="410" t="n"/>
      <c r="X78" s="410" t="n"/>
      <c r="Y78" s="410" t="n"/>
    </row>
    <row r="79" ht="16.5" customHeight="1" s="408">
      <c r="A79" s="410" t="n"/>
      <c r="B79" s="410" t="n"/>
      <c r="C79" s="410" t="n"/>
      <c r="D79" s="410" t="n"/>
      <c r="E79" s="410" t="n"/>
      <c r="F79" s="410" t="n"/>
      <c r="G79" s="410" t="n"/>
      <c r="H79" s="410" t="n"/>
      <c r="I79" s="410" t="n"/>
      <c r="J79" s="410" t="n"/>
      <c r="K79" s="410" t="n"/>
      <c r="L79" s="410" t="n"/>
      <c r="M79" s="410" t="n"/>
      <c r="N79" s="410" t="n"/>
      <c r="O79" s="410" t="n"/>
      <c r="P79" s="410" t="n"/>
      <c r="Q79" s="410" t="n"/>
      <c r="R79" s="410" t="n"/>
      <c r="S79" s="410" t="n"/>
      <c r="T79" s="410" t="n"/>
      <c r="U79" s="410" t="n"/>
      <c r="V79" s="410" t="n"/>
      <c r="W79" s="410" t="n"/>
      <c r="X79" s="410" t="n"/>
      <c r="Y79" s="410" t="n"/>
    </row>
    <row r="80" ht="16.5" customHeight="1" s="408">
      <c r="A80" s="410" t="n"/>
      <c r="B80" s="410" t="n"/>
      <c r="C80" s="410" t="n"/>
      <c r="D80" s="410" t="n"/>
      <c r="E80" s="410" t="n"/>
      <c r="F80" s="410" t="n"/>
      <c r="G80" s="410" t="n"/>
      <c r="H80" s="410" t="n"/>
      <c r="I80" s="410" t="n"/>
      <c r="J80" s="410" t="n"/>
      <c r="K80" s="410" t="n"/>
      <c r="L80" s="410" t="n"/>
      <c r="M80" s="410" t="n"/>
      <c r="N80" s="410" t="n"/>
      <c r="O80" s="410" t="n"/>
      <c r="P80" s="410" t="n"/>
      <c r="Q80" s="410" t="n"/>
      <c r="R80" s="410" t="n"/>
      <c r="S80" s="410" t="n"/>
      <c r="T80" s="410" t="n"/>
      <c r="U80" s="410" t="n"/>
      <c r="V80" s="410" t="n"/>
      <c r="W80" s="410" t="n"/>
      <c r="X80" s="410" t="n"/>
      <c r="Y80" s="410" t="n"/>
    </row>
    <row r="81" ht="16.5" customHeight="1" s="408">
      <c r="A81" s="410" t="n"/>
      <c r="B81" s="410" t="n"/>
      <c r="C81" s="410" t="n"/>
      <c r="D81" s="410" t="n"/>
      <c r="E81" s="410" t="n"/>
      <c r="F81" s="410" t="n"/>
      <c r="G81" s="410" t="n"/>
      <c r="H81" s="410" t="n"/>
      <c r="I81" s="410" t="n"/>
      <c r="J81" s="410" t="n"/>
      <c r="K81" s="410" t="n"/>
      <c r="L81" s="410" t="n"/>
      <c r="M81" s="410" t="n"/>
      <c r="N81" s="410" t="n"/>
      <c r="O81" s="410" t="n"/>
      <c r="P81" s="410" t="n"/>
      <c r="Q81" s="410" t="n"/>
      <c r="R81" s="410" t="n"/>
      <c r="S81" s="410" t="n"/>
      <c r="T81" s="410" t="n"/>
      <c r="U81" s="410" t="n"/>
      <c r="V81" s="410" t="n"/>
      <c r="W81" s="410" t="n"/>
      <c r="X81" s="410" t="n"/>
      <c r="Y81" s="410" t="n"/>
    </row>
    <row r="82" ht="16.5" customHeight="1" s="408">
      <c r="A82" s="410" t="n"/>
      <c r="B82" s="410" t="n"/>
      <c r="C82" s="410" t="n"/>
      <c r="D82" s="410" t="n"/>
      <c r="E82" s="410" t="n"/>
      <c r="F82" s="410" t="n"/>
      <c r="G82" s="410" t="n"/>
      <c r="H82" s="410" t="n"/>
      <c r="I82" s="410" t="n"/>
      <c r="J82" s="410" t="n"/>
      <c r="K82" s="410" t="n"/>
      <c r="L82" s="410" t="n"/>
      <c r="M82" s="410" t="n"/>
      <c r="N82" s="410" t="n"/>
      <c r="O82" s="410" t="n"/>
      <c r="P82" s="410" t="n"/>
      <c r="Q82" s="410" t="n"/>
      <c r="R82" s="410" t="n"/>
      <c r="S82" s="410" t="n"/>
      <c r="T82" s="410" t="n"/>
      <c r="U82" s="410" t="n"/>
      <c r="V82" s="410" t="n"/>
      <c r="W82" s="410" t="n"/>
      <c r="X82" s="410" t="n"/>
      <c r="Y82" s="410" t="n"/>
    </row>
    <row r="83" ht="16.5" customHeight="1" s="408">
      <c r="A83" s="410" t="n"/>
      <c r="B83" s="410" t="n"/>
      <c r="C83" s="410" t="n"/>
      <c r="D83" s="410" t="n"/>
      <c r="E83" s="410" t="n"/>
      <c r="F83" s="410" t="n"/>
      <c r="G83" s="410" t="n"/>
      <c r="H83" s="410" t="n"/>
      <c r="I83" s="410" t="n"/>
      <c r="J83" s="410" t="n"/>
      <c r="K83" s="410" t="n"/>
      <c r="L83" s="410" t="n"/>
      <c r="M83" s="410" t="n"/>
      <c r="N83" s="410" t="n"/>
      <c r="O83" s="410" t="n"/>
      <c r="P83" s="410" t="n"/>
      <c r="Q83" s="410" t="n"/>
      <c r="R83" s="410" t="n"/>
      <c r="S83" s="410" t="n"/>
      <c r="T83" s="410" t="n"/>
      <c r="U83" s="410" t="n"/>
      <c r="V83" s="410" t="n"/>
      <c r="W83" s="410" t="n"/>
      <c r="X83" s="410" t="n"/>
      <c r="Y83" s="410" t="n"/>
    </row>
    <row r="84" ht="16.5" customHeight="1" s="408">
      <c r="A84" s="410" t="n"/>
      <c r="B84" s="410" t="n"/>
      <c r="C84" s="410" t="n"/>
      <c r="D84" s="410" t="n"/>
      <c r="E84" s="410" t="n"/>
      <c r="F84" s="410" t="n"/>
      <c r="G84" s="410" t="n"/>
      <c r="H84" s="410" t="n"/>
      <c r="I84" s="410" t="n"/>
      <c r="J84" s="410" t="n"/>
      <c r="K84" s="410" t="n"/>
      <c r="L84" s="410" t="n"/>
      <c r="M84" s="410" t="n"/>
      <c r="N84" s="410" t="n"/>
      <c r="O84" s="410" t="n"/>
      <c r="P84" s="410" t="n"/>
      <c r="Q84" s="410" t="n"/>
      <c r="R84" s="410" t="n"/>
      <c r="S84" s="410" t="n"/>
      <c r="T84" s="410" t="n"/>
      <c r="U84" s="410" t="n"/>
      <c r="V84" s="410" t="n"/>
      <c r="W84" s="410" t="n"/>
      <c r="X84" s="410" t="n"/>
      <c r="Y84" s="410" t="n"/>
    </row>
    <row r="85" ht="16.5" customHeight="1" s="408">
      <c r="A85" s="410" t="n"/>
      <c r="B85" s="410" t="n"/>
      <c r="C85" s="410" t="n"/>
      <c r="D85" s="410" t="n"/>
      <c r="E85" s="410" t="n"/>
      <c r="F85" s="410" t="n"/>
      <c r="G85" s="410" t="n"/>
      <c r="H85" s="410" t="n"/>
      <c r="I85" s="410" t="n"/>
      <c r="J85" s="410" t="n"/>
      <c r="K85" s="410" t="n"/>
      <c r="L85" s="410" t="n"/>
      <c r="M85" s="410" t="n"/>
      <c r="N85" s="410" t="n"/>
      <c r="O85" s="410" t="n"/>
      <c r="P85" s="410" t="n"/>
      <c r="Q85" s="410" t="n"/>
      <c r="R85" s="410" t="n"/>
      <c r="S85" s="410" t="n"/>
      <c r="T85" s="410" t="n"/>
      <c r="U85" s="410" t="n"/>
      <c r="V85" s="410" t="n"/>
      <c r="W85" s="410" t="n"/>
      <c r="X85" s="410" t="n"/>
      <c r="Y85" s="410" t="n"/>
    </row>
    <row r="86" ht="16.5" customHeight="1" s="408">
      <c r="A86" s="410" t="n"/>
      <c r="B86" s="410" t="n"/>
      <c r="C86" s="410" t="n"/>
      <c r="D86" s="410" t="n"/>
      <c r="E86" s="410" t="n"/>
      <c r="F86" s="410" t="n"/>
      <c r="G86" s="410" t="n"/>
      <c r="H86" s="410" t="n"/>
      <c r="I86" s="410" t="n"/>
      <c r="J86" s="410" t="n"/>
      <c r="K86" s="410" t="n"/>
      <c r="L86" s="410" t="n"/>
      <c r="M86" s="410" t="n"/>
      <c r="N86" s="410" t="n"/>
      <c r="O86" s="410" t="n"/>
      <c r="P86" s="410" t="n"/>
      <c r="Q86" s="410" t="n"/>
      <c r="R86" s="410" t="n"/>
      <c r="S86" s="410" t="n"/>
      <c r="T86" s="410" t="n"/>
      <c r="U86" s="410" t="n"/>
      <c r="V86" s="410" t="n"/>
      <c r="W86" s="410" t="n"/>
      <c r="X86" s="410" t="n"/>
      <c r="Y86" s="410" t="n"/>
    </row>
    <row r="87" ht="16.5" customHeight="1" s="408">
      <c r="A87" s="410" t="n"/>
      <c r="B87" s="410" t="n"/>
      <c r="C87" s="410" t="n"/>
      <c r="D87" s="410" t="n"/>
      <c r="E87" s="410" t="n"/>
      <c r="F87" s="410" t="n"/>
      <c r="G87" s="410" t="n"/>
      <c r="H87" s="410" t="n"/>
      <c r="I87" s="410" t="n"/>
      <c r="J87" s="410" t="n"/>
      <c r="K87" s="410" t="n"/>
      <c r="L87" s="410" t="n"/>
      <c r="M87" s="410" t="n"/>
      <c r="N87" s="410" t="n"/>
      <c r="O87" s="410" t="n"/>
      <c r="P87" s="410" t="n"/>
      <c r="Q87" s="410" t="n"/>
      <c r="R87" s="410" t="n"/>
      <c r="S87" s="410" t="n"/>
      <c r="T87" s="410" t="n"/>
      <c r="U87" s="410" t="n"/>
      <c r="V87" s="410" t="n"/>
      <c r="W87" s="410" t="n"/>
      <c r="X87" s="410" t="n"/>
      <c r="Y87" s="410" t="n"/>
    </row>
    <row r="88" ht="16.5" customHeight="1" s="408">
      <c r="A88" s="410" t="n"/>
      <c r="B88" s="410" t="n"/>
      <c r="C88" s="410" t="n"/>
      <c r="D88" s="410" t="n"/>
      <c r="E88" s="410" t="n"/>
      <c r="F88" s="410" t="n"/>
      <c r="G88" s="410" t="n"/>
      <c r="H88" s="410" t="n"/>
      <c r="I88" s="410" t="n"/>
      <c r="J88" s="410" t="n"/>
      <c r="K88" s="410" t="n"/>
      <c r="L88" s="410" t="n"/>
      <c r="M88" s="410" t="n"/>
      <c r="N88" s="410" t="n"/>
      <c r="O88" s="410" t="n"/>
      <c r="P88" s="410" t="n"/>
      <c r="Q88" s="410" t="n"/>
      <c r="R88" s="410" t="n"/>
      <c r="S88" s="410" t="n"/>
      <c r="T88" s="410" t="n"/>
      <c r="U88" s="410" t="n"/>
      <c r="V88" s="410" t="n"/>
      <c r="W88" s="410" t="n"/>
      <c r="X88" s="410" t="n"/>
      <c r="Y88" s="410" t="n"/>
    </row>
    <row r="89" ht="16.5" customHeight="1" s="408">
      <c r="A89" s="410" t="n"/>
      <c r="B89" s="410" t="n"/>
      <c r="C89" s="410" t="n"/>
      <c r="D89" s="410" t="n"/>
      <c r="E89" s="410" t="n"/>
      <c r="F89" s="410" t="n"/>
      <c r="G89" s="410" t="n"/>
      <c r="H89" s="410" t="n"/>
      <c r="I89" s="410" t="n"/>
      <c r="J89" s="410" t="n"/>
      <c r="K89" s="410" t="n"/>
      <c r="L89" s="410" t="n"/>
      <c r="M89" s="410" t="n"/>
      <c r="N89" s="410" t="n"/>
      <c r="O89" s="410" t="n"/>
      <c r="P89" s="410" t="n"/>
      <c r="Q89" s="410" t="n"/>
      <c r="R89" s="410" t="n"/>
      <c r="S89" s="410" t="n"/>
      <c r="T89" s="410" t="n"/>
      <c r="U89" s="410" t="n"/>
      <c r="V89" s="410" t="n"/>
      <c r="W89" s="410" t="n"/>
      <c r="X89" s="410" t="n"/>
      <c r="Y89" s="410" t="n"/>
    </row>
    <row r="90" ht="16.5" customHeight="1" s="408">
      <c r="A90" s="410" t="n"/>
      <c r="B90" s="410" t="n"/>
      <c r="C90" s="410" t="n"/>
      <c r="D90" s="410" t="n"/>
      <c r="E90" s="410" t="n"/>
      <c r="F90" s="410" t="n"/>
      <c r="G90" s="410" t="n"/>
      <c r="H90" s="410" t="n"/>
      <c r="I90" s="410" t="n"/>
      <c r="J90" s="410" t="n"/>
      <c r="K90" s="410" t="n"/>
      <c r="L90" s="410" t="n"/>
      <c r="M90" s="410" t="n"/>
      <c r="N90" s="410" t="n"/>
      <c r="O90" s="410" t="n"/>
      <c r="P90" s="410" t="n"/>
      <c r="Q90" s="410" t="n"/>
      <c r="R90" s="410" t="n"/>
      <c r="S90" s="410" t="n"/>
      <c r="T90" s="410" t="n"/>
      <c r="U90" s="410" t="n"/>
      <c r="V90" s="410" t="n"/>
      <c r="W90" s="410" t="n"/>
      <c r="X90" s="410" t="n"/>
      <c r="Y90" s="410" t="n"/>
    </row>
    <row r="91" ht="16.5" customHeight="1" s="408">
      <c r="A91" s="410" t="n"/>
      <c r="B91" s="410" t="n"/>
      <c r="C91" s="410" t="n"/>
      <c r="D91" s="410" t="n"/>
      <c r="E91" s="410" t="n"/>
      <c r="F91" s="410" t="n"/>
      <c r="G91" s="410" t="n"/>
      <c r="H91" s="410" t="n"/>
      <c r="I91" s="410" t="n"/>
      <c r="J91" s="410" t="n"/>
      <c r="K91" s="410" t="n"/>
      <c r="L91" s="410" t="n"/>
      <c r="M91" s="410" t="n"/>
      <c r="N91" s="410" t="n"/>
      <c r="O91" s="410" t="n"/>
      <c r="P91" s="410" t="n"/>
      <c r="Q91" s="410" t="n"/>
      <c r="R91" s="410" t="n"/>
      <c r="S91" s="410" t="n"/>
      <c r="T91" s="410" t="n"/>
      <c r="U91" s="410" t="n"/>
      <c r="V91" s="410" t="n"/>
      <c r="W91" s="410" t="n"/>
      <c r="X91" s="410" t="n"/>
      <c r="Y91" s="410" t="n"/>
    </row>
    <row r="92" ht="16.5" customHeight="1" s="408">
      <c r="A92" s="410" t="n"/>
      <c r="B92" s="410" t="n"/>
      <c r="C92" s="410" t="n"/>
      <c r="D92" s="410" t="n"/>
      <c r="E92" s="410" t="n"/>
      <c r="F92" s="410" t="n"/>
      <c r="G92" s="410" t="n"/>
      <c r="H92" s="410" t="n"/>
      <c r="I92" s="410" t="n"/>
      <c r="J92" s="410" t="n"/>
      <c r="K92" s="410" t="n"/>
      <c r="L92" s="410" t="n"/>
      <c r="M92" s="410" t="n"/>
      <c r="N92" s="410" t="n"/>
      <c r="O92" s="410" t="n"/>
      <c r="P92" s="410" t="n"/>
      <c r="Q92" s="410" t="n"/>
      <c r="R92" s="410" t="n"/>
      <c r="S92" s="410" t="n"/>
      <c r="T92" s="410" t="n"/>
      <c r="U92" s="410" t="n"/>
      <c r="V92" s="410" t="n"/>
      <c r="W92" s="410" t="n"/>
      <c r="X92" s="410" t="n"/>
      <c r="Y92" s="410" t="n"/>
    </row>
    <row r="93" ht="16.5" customHeight="1" s="408">
      <c r="A93" s="410" t="n"/>
      <c r="B93" s="410" t="n"/>
      <c r="C93" s="410" t="n"/>
      <c r="D93" s="410" t="n"/>
      <c r="E93" s="410" t="n"/>
      <c r="F93" s="410" t="n"/>
      <c r="G93" s="410" t="n"/>
      <c r="H93" s="410" t="n"/>
      <c r="I93" s="410" t="n"/>
      <c r="J93" s="410" t="n"/>
      <c r="K93" s="410" t="n"/>
      <c r="L93" s="410" t="n"/>
      <c r="M93" s="410" t="n"/>
      <c r="N93" s="410" t="n"/>
      <c r="O93" s="410" t="n"/>
      <c r="P93" s="410" t="n"/>
      <c r="Q93" s="410" t="n"/>
      <c r="R93" s="410" t="n"/>
      <c r="S93" s="410" t="n"/>
      <c r="T93" s="410" t="n"/>
      <c r="U93" s="410" t="n"/>
      <c r="V93" s="410" t="n"/>
      <c r="W93" s="410" t="n"/>
      <c r="X93" s="410" t="n"/>
      <c r="Y93" s="410" t="n"/>
    </row>
    <row r="94" ht="16.5" customHeight="1" s="408">
      <c r="A94" s="410" t="n"/>
      <c r="B94" s="410" t="n"/>
      <c r="C94" s="410" t="n"/>
      <c r="D94" s="410" t="n"/>
      <c r="E94" s="410" t="n"/>
      <c r="F94" s="410" t="n"/>
      <c r="G94" s="410" t="n"/>
      <c r="H94" s="410" t="n"/>
      <c r="I94" s="410" t="n"/>
      <c r="J94" s="410" t="n"/>
      <c r="K94" s="410" t="n"/>
      <c r="L94" s="410" t="n"/>
      <c r="M94" s="410" t="n"/>
      <c r="N94" s="410" t="n"/>
      <c r="O94" s="410" t="n"/>
      <c r="P94" s="410" t="n"/>
      <c r="Q94" s="410" t="n"/>
      <c r="R94" s="410" t="n"/>
      <c r="S94" s="410" t="n"/>
      <c r="T94" s="410" t="n"/>
      <c r="U94" s="410" t="n"/>
      <c r="V94" s="410" t="n"/>
      <c r="W94" s="410" t="n"/>
      <c r="X94" s="410" t="n"/>
      <c r="Y94" s="410" t="n"/>
    </row>
    <row r="95" ht="16.5" customHeight="1" s="408">
      <c r="A95" s="410" t="n"/>
      <c r="B95" s="410" t="n"/>
      <c r="C95" s="410" t="n"/>
      <c r="D95" s="410" t="n"/>
      <c r="E95" s="410" t="n"/>
      <c r="F95" s="410" t="n"/>
      <c r="G95" s="410" t="n"/>
      <c r="H95" s="410" t="n"/>
      <c r="I95" s="410" t="n"/>
      <c r="J95" s="410" t="n"/>
      <c r="K95" s="410" t="n"/>
      <c r="L95" s="410" t="n"/>
      <c r="M95" s="410" t="n"/>
      <c r="N95" s="410" t="n"/>
      <c r="O95" s="410" t="n"/>
      <c r="P95" s="410" t="n"/>
      <c r="Q95" s="410" t="n"/>
      <c r="R95" s="410" t="n"/>
      <c r="S95" s="410" t="n"/>
      <c r="T95" s="410" t="n"/>
      <c r="U95" s="410" t="n"/>
      <c r="V95" s="410" t="n"/>
      <c r="W95" s="410" t="n"/>
      <c r="X95" s="410" t="n"/>
      <c r="Y95" s="410" t="n"/>
    </row>
    <row r="96" ht="16.5" customHeight="1" s="408">
      <c r="A96" s="410" t="n"/>
      <c r="B96" s="410" t="n"/>
      <c r="C96" s="410" t="n"/>
      <c r="D96" s="410" t="n"/>
      <c r="E96" s="410" t="n"/>
      <c r="F96" s="410" t="n"/>
      <c r="G96" s="410" t="n"/>
      <c r="H96" s="410" t="n"/>
      <c r="I96" s="410" t="n"/>
      <c r="J96" s="410" t="n"/>
      <c r="K96" s="410" t="n"/>
      <c r="L96" s="410" t="n"/>
      <c r="M96" s="410" t="n"/>
      <c r="N96" s="410" t="n"/>
      <c r="O96" s="410" t="n"/>
      <c r="P96" s="410" t="n"/>
      <c r="Q96" s="410" t="n"/>
      <c r="R96" s="410" t="n"/>
      <c r="S96" s="410" t="n"/>
      <c r="T96" s="410" t="n"/>
      <c r="U96" s="410" t="n"/>
      <c r="V96" s="410" t="n"/>
      <c r="W96" s="410" t="n"/>
      <c r="X96" s="410" t="n"/>
      <c r="Y96" s="410" t="n"/>
    </row>
    <row r="97" ht="16.5" customHeight="1" s="408">
      <c r="A97" s="410" t="n"/>
      <c r="B97" s="410" t="n"/>
      <c r="C97" s="410" t="n"/>
      <c r="D97" s="410" t="n"/>
      <c r="E97" s="410" t="n"/>
      <c r="F97" s="410" t="n"/>
      <c r="G97" s="410" t="n"/>
      <c r="H97" s="410" t="n"/>
      <c r="I97" s="410" t="n"/>
      <c r="J97" s="410" t="n"/>
      <c r="K97" s="410" t="n"/>
      <c r="L97" s="410" t="n"/>
      <c r="M97" s="410" t="n"/>
      <c r="N97" s="410" t="n"/>
      <c r="O97" s="410" t="n"/>
      <c r="P97" s="410" t="n"/>
      <c r="Q97" s="410" t="n"/>
      <c r="R97" s="410" t="n"/>
      <c r="S97" s="410" t="n"/>
      <c r="T97" s="410" t="n"/>
      <c r="U97" s="410" t="n"/>
      <c r="V97" s="410" t="n"/>
      <c r="W97" s="410" t="n"/>
      <c r="X97" s="410" t="n"/>
      <c r="Y97" s="410" t="n"/>
    </row>
    <row r="98" ht="16.5" customHeight="1" s="408">
      <c r="A98" s="410" t="n"/>
      <c r="B98" s="410" t="n"/>
      <c r="C98" s="410" t="n"/>
      <c r="D98" s="410" t="n"/>
      <c r="E98" s="410" t="n"/>
      <c r="F98" s="410" t="n"/>
      <c r="G98" s="410" t="n"/>
      <c r="H98" s="410" t="n"/>
      <c r="I98" s="410" t="n"/>
      <c r="J98" s="410" t="n"/>
      <c r="K98" s="410" t="n"/>
      <c r="L98" s="410" t="n"/>
      <c r="M98" s="410" t="n"/>
      <c r="N98" s="410" t="n"/>
      <c r="O98" s="410" t="n"/>
      <c r="P98" s="410" t="n"/>
      <c r="Q98" s="410" t="n"/>
      <c r="R98" s="410" t="n"/>
      <c r="S98" s="410" t="n"/>
      <c r="T98" s="410" t="n"/>
      <c r="U98" s="410" t="n"/>
      <c r="V98" s="410" t="n"/>
      <c r="W98" s="410" t="n"/>
      <c r="X98" s="410" t="n"/>
      <c r="Y98" s="410" t="n"/>
    </row>
    <row r="99" ht="16.5" customHeight="1" s="408">
      <c r="A99" s="410" t="n"/>
      <c r="B99" s="410" t="n"/>
      <c r="C99" s="410" t="n"/>
      <c r="D99" s="410" t="n"/>
      <c r="E99" s="410" t="n"/>
      <c r="F99" s="410" t="n"/>
      <c r="G99" s="410" t="n"/>
      <c r="H99" s="410" t="n"/>
      <c r="I99" s="410" t="n"/>
      <c r="J99" s="410" t="n"/>
      <c r="K99" s="410" t="n"/>
      <c r="L99" s="410" t="n"/>
      <c r="M99" s="410" t="n"/>
      <c r="N99" s="410" t="n"/>
      <c r="O99" s="410" t="n"/>
      <c r="P99" s="410" t="n"/>
      <c r="Q99" s="410" t="n"/>
      <c r="R99" s="410" t="n"/>
      <c r="S99" s="410" t="n"/>
      <c r="T99" s="410" t="n"/>
      <c r="U99" s="410" t="n"/>
      <c r="V99" s="410" t="n"/>
      <c r="W99" s="410" t="n"/>
      <c r="X99" s="410" t="n"/>
      <c r="Y99" s="410" t="n"/>
    </row>
    <row r="100" ht="16.5" customHeight="1" s="408">
      <c r="A100" s="410" t="n"/>
      <c r="B100" s="410" t="n"/>
      <c r="C100" s="410" t="n"/>
      <c r="D100" s="410" t="n"/>
      <c r="E100" s="410" t="n"/>
      <c r="F100" s="410" t="n"/>
      <c r="G100" s="410" t="n"/>
      <c r="H100" s="410" t="n"/>
      <c r="I100" s="410" t="n"/>
      <c r="J100" s="410" t="n"/>
      <c r="K100" s="410" t="n"/>
      <c r="L100" s="410" t="n"/>
      <c r="M100" s="410" t="n"/>
      <c r="N100" s="410" t="n"/>
      <c r="O100" s="410" t="n"/>
      <c r="P100" s="410" t="n"/>
      <c r="Q100" s="410" t="n"/>
      <c r="R100" s="410" t="n"/>
      <c r="S100" s="410" t="n"/>
      <c r="T100" s="410" t="n"/>
      <c r="U100" s="410" t="n"/>
      <c r="V100" s="410" t="n"/>
      <c r="W100" s="410" t="n"/>
      <c r="X100" s="410" t="n"/>
      <c r="Y100" s="410" t="n"/>
    </row>
    <row r="101" ht="16.5" customHeight="1" s="408">
      <c r="A101" s="410" t="n"/>
      <c r="B101" s="410" t="n"/>
      <c r="C101" s="410" t="n"/>
      <c r="D101" s="410" t="n"/>
      <c r="E101" s="410" t="n"/>
      <c r="F101" s="410" t="n"/>
      <c r="G101" s="410" t="n"/>
      <c r="H101" s="410" t="n"/>
      <c r="I101" s="410" t="n"/>
      <c r="J101" s="410" t="n"/>
      <c r="K101" s="410" t="n"/>
      <c r="L101" s="410" t="n"/>
      <c r="M101" s="410" t="n"/>
      <c r="N101" s="410" t="n"/>
      <c r="O101" s="410" t="n"/>
      <c r="P101" s="410" t="n"/>
      <c r="Q101" s="410" t="n"/>
      <c r="R101" s="410" t="n"/>
      <c r="S101" s="410" t="n"/>
      <c r="T101" s="410" t="n"/>
      <c r="U101" s="410" t="n"/>
      <c r="V101" s="410" t="n"/>
      <c r="W101" s="410" t="n"/>
      <c r="X101" s="410" t="n"/>
      <c r="Y101" s="410" t="n"/>
    </row>
    <row r="102" ht="16.5" customHeight="1" s="408">
      <c r="A102" s="410" t="n"/>
      <c r="B102" s="410" t="n"/>
      <c r="C102" s="410" t="n"/>
      <c r="D102" s="410" t="n"/>
      <c r="E102" s="410" t="n"/>
      <c r="F102" s="410" t="n"/>
      <c r="G102" s="410" t="n"/>
      <c r="H102" s="410" t="n"/>
      <c r="I102" s="410" t="n"/>
      <c r="J102" s="410" t="n"/>
      <c r="K102" s="410" t="n"/>
      <c r="L102" s="410" t="n"/>
      <c r="M102" s="410" t="n"/>
      <c r="N102" s="410" t="n"/>
      <c r="O102" s="410" t="n"/>
      <c r="P102" s="410" t="n"/>
      <c r="Q102" s="410" t="n"/>
      <c r="R102" s="410" t="n"/>
      <c r="S102" s="410" t="n"/>
      <c r="T102" s="410" t="n"/>
      <c r="U102" s="410" t="n"/>
      <c r="V102" s="410" t="n"/>
      <c r="W102" s="410" t="n"/>
      <c r="X102" s="410" t="n"/>
      <c r="Y102" s="410" t="n"/>
    </row>
    <row r="103" ht="16.5" customHeight="1" s="408">
      <c r="A103" s="410" t="n"/>
      <c r="B103" s="410" t="n"/>
      <c r="C103" s="410" t="n"/>
      <c r="D103" s="410" t="n"/>
      <c r="E103" s="410" t="n"/>
      <c r="F103" s="410" t="n"/>
      <c r="G103" s="410" t="n"/>
      <c r="H103" s="410" t="n"/>
      <c r="I103" s="410" t="n"/>
      <c r="J103" s="410" t="n"/>
      <c r="K103" s="410" t="n"/>
      <c r="L103" s="410" t="n"/>
      <c r="M103" s="410" t="n"/>
      <c r="N103" s="410" t="n"/>
      <c r="O103" s="410" t="n"/>
      <c r="P103" s="410" t="n"/>
      <c r="Q103" s="410" t="n"/>
      <c r="R103" s="410" t="n"/>
      <c r="S103" s="410" t="n"/>
      <c r="T103" s="410" t="n"/>
      <c r="U103" s="410" t="n"/>
      <c r="V103" s="410" t="n"/>
      <c r="W103" s="410" t="n"/>
      <c r="X103" s="410" t="n"/>
      <c r="Y103" s="410" t="n"/>
    </row>
    <row r="104" ht="16.5" customHeight="1" s="408">
      <c r="A104" s="410" t="n"/>
      <c r="B104" s="410" t="n"/>
      <c r="C104" s="410" t="n"/>
      <c r="D104" s="410" t="n"/>
      <c r="E104" s="410" t="n"/>
      <c r="F104" s="410" t="n"/>
      <c r="G104" s="410" t="n"/>
      <c r="H104" s="410" t="n"/>
      <c r="I104" s="410" t="n"/>
      <c r="J104" s="410" t="n"/>
      <c r="K104" s="410" t="n"/>
      <c r="L104" s="410" t="n"/>
      <c r="M104" s="410" t="n"/>
      <c r="N104" s="410" t="n"/>
      <c r="O104" s="410" t="n"/>
      <c r="P104" s="410" t="n"/>
      <c r="Q104" s="410" t="n"/>
      <c r="R104" s="410" t="n"/>
      <c r="S104" s="410" t="n"/>
      <c r="T104" s="410" t="n"/>
      <c r="U104" s="410" t="n"/>
      <c r="V104" s="410" t="n"/>
      <c r="W104" s="410" t="n"/>
      <c r="X104" s="410" t="n"/>
      <c r="Y104" s="410" t="n"/>
    </row>
    <row r="105" ht="16.5" customHeight="1" s="408">
      <c r="A105" s="410" t="n"/>
      <c r="B105" s="410" t="n"/>
      <c r="C105" s="410" t="n"/>
      <c r="D105" s="410" t="n"/>
      <c r="E105" s="410" t="n"/>
      <c r="F105" s="410" t="n"/>
      <c r="G105" s="410" t="n"/>
      <c r="H105" s="410" t="n"/>
      <c r="I105" s="410" t="n"/>
      <c r="J105" s="410" t="n"/>
      <c r="K105" s="410" t="n"/>
      <c r="L105" s="410" t="n"/>
      <c r="M105" s="410" t="n"/>
      <c r="N105" s="410" t="n"/>
      <c r="O105" s="410" t="n"/>
      <c r="P105" s="410" t="n"/>
      <c r="Q105" s="410" t="n"/>
      <c r="R105" s="410" t="n"/>
      <c r="S105" s="410" t="n"/>
      <c r="T105" s="410" t="n"/>
      <c r="U105" s="410" t="n"/>
      <c r="V105" s="410" t="n"/>
      <c r="W105" s="410" t="n"/>
      <c r="X105" s="410" t="n"/>
      <c r="Y105" s="410" t="n"/>
    </row>
    <row r="106" ht="16.5" customHeight="1" s="408">
      <c r="A106" s="410" t="n"/>
      <c r="B106" s="410" t="n"/>
      <c r="C106" s="410" t="n"/>
      <c r="D106" s="410" t="n"/>
      <c r="E106" s="410" t="n"/>
      <c r="F106" s="410" t="n"/>
      <c r="G106" s="410" t="n"/>
      <c r="H106" s="410" t="n"/>
      <c r="I106" s="410" t="n"/>
      <c r="J106" s="410" t="n"/>
      <c r="K106" s="410" t="n"/>
      <c r="L106" s="410" t="n"/>
      <c r="M106" s="410" t="n"/>
      <c r="N106" s="410" t="n"/>
      <c r="O106" s="410" t="n"/>
      <c r="P106" s="410" t="n"/>
      <c r="Q106" s="410" t="n"/>
      <c r="R106" s="410" t="n"/>
      <c r="S106" s="410" t="n"/>
      <c r="T106" s="410" t="n"/>
      <c r="U106" s="410" t="n"/>
      <c r="V106" s="410" t="n"/>
      <c r="W106" s="410" t="n"/>
      <c r="X106" s="410" t="n"/>
      <c r="Y106" s="410" t="n"/>
    </row>
    <row r="107" ht="16.5" customHeight="1" s="408">
      <c r="A107" s="410" t="n"/>
      <c r="B107" s="410" t="n"/>
      <c r="C107" s="410" t="n"/>
      <c r="D107" s="410" t="n"/>
      <c r="E107" s="410" t="n"/>
      <c r="F107" s="410" t="n"/>
      <c r="G107" s="410" t="n"/>
      <c r="H107" s="410" t="n"/>
      <c r="I107" s="410" t="n"/>
      <c r="J107" s="410" t="n"/>
      <c r="K107" s="410" t="n"/>
      <c r="L107" s="410" t="n"/>
      <c r="M107" s="410" t="n"/>
      <c r="N107" s="410" t="n"/>
      <c r="O107" s="410" t="n"/>
      <c r="P107" s="410" t="n"/>
      <c r="Q107" s="410" t="n"/>
      <c r="R107" s="410" t="n"/>
      <c r="S107" s="410" t="n"/>
      <c r="T107" s="410" t="n"/>
      <c r="U107" s="410" t="n"/>
      <c r="V107" s="410" t="n"/>
      <c r="W107" s="410" t="n"/>
      <c r="X107" s="410" t="n"/>
      <c r="Y107" s="410" t="n"/>
    </row>
    <row r="108" ht="16.5" customHeight="1" s="408">
      <c r="A108" s="410" t="n"/>
      <c r="B108" s="410" t="n"/>
      <c r="C108" s="410" t="n"/>
      <c r="D108" s="410" t="n"/>
      <c r="E108" s="410" t="n"/>
      <c r="F108" s="410" t="n"/>
      <c r="G108" s="410" t="n"/>
      <c r="H108" s="410" t="n"/>
      <c r="I108" s="410" t="n"/>
      <c r="J108" s="410" t="n"/>
      <c r="K108" s="410" t="n"/>
      <c r="L108" s="410" t="n"/>
      <c r="M108" s="410" t="n"/>
      <c r="N108" s="410" t="n"/>
      <c r="O108" s="410" t="n"/>
      <c r="P108" s="410" t="n"/>
      <c r="Q108" s="410" t="n"/>
      <c r="R108" s="410" t="n"/>
      <c r="S108" s="410" t="n"/>
      <c r="T108" s="410" t="n"/>
      <c r="U108" s="410" t="n"/>
      <c r="V108" s="410" t="n"/>
      <c r="W108" s="410" t="n"/>
      <c r="X108" s="410" t="n"/>
      <c r="Y108" s="410" t="n"/>
    </row>
    <row r="109" ht="16.5" customHeight="1" s="408">
      <c r="A109" s="410" t="n"/>
      <c r="B109" s="410" t="n"/>
      <c r="C109" s="410" t="n"/>
      <c r="D109" s="410" t="n"/>
      <c r="E109" s="410" t="n"/>
      <c r="F109" s="410" t="n"/>
      <c r="G109" s="410" t="n"/>
      <c r="H109" s="410" t="n"/>
      <c r="I109" s="410" t="n"/>
      <c r="J109" s="410" t="n"/>
      <c r="K109" s="410" t="n"/>
      <c r="L109" s="410" t="n"/>
      <c r="M109" s="410" t="n"/>
      <c r="N109" s="410" t="n"/>
      <c r="O109" s="410" t="n"/>
      <c r="P109" s="410" t="n"/>
      <c r="Q109" s="410" t="n"/>
      <c r="R109" s="410" t="n"/>
      <c r="S109" s="410" t="n"/>
      <c r="T109" s="410" t="n"/>
      <c r="U109" s="410" t="n"/>
      <c r="V109" s="410" t="n"/>
      <c r="W109" s="410" t="n"/>
      <c r="X109" s="410" t="n"/>
      <c r="Y109" s="410" t="n"/>
    </row>
    <row r="110" ht="16.5" customHeight="1" s="408">
      <c r="A110" s="410" t="n"/>
      <c r="B110" s="410" t="n"/>
      <c r="C110" s="410" t="n"/>
      <c r="D110" s="410" t="n"/>
      <c r="E110" s="410" t="n"/>
      <c r="F110" s="410" t="n"/>
      <c r="G110" s="410" t="n"/>
      <c r="H110" s="410" t="n"/>
      <c r="I110" s="410" t="n"/>
      <c r="J110" s="410" t="n"/>
      <c r="K110" s="410" t="n"/>
      <c r="L110" s="410" t="n"/>
      <c r="M110" s="410" t="n"/>
      <c r="N110" s="410" t="n"/>
      <c r="O110" s="410" t="n"/>
      <c r="P110" s="410" t="n"/>
      <c r="Q110" s="410" t="n"/>
      <c r="R110" s="410" t="n"/>
      <c r="S110" s="410" t="n"/>
      <c r="T110" s="410" t="n"/>
      <c r="U110" s="410" t="n"/>
      <c r="V110" s="410" t="n"/>
      <c r="W110" s="410" t="n"/>
      <c r="X110" s="410" t="n"/>
      <c r="Y110" s="410" t="n"/>
    </row>
    <row r="111" ht="16.5" customHeight="1" s="408">
      <c r="A111" s="410" t="n"/>
      <c r="B111" s="410" t="n"/>
      <c r="C111" s="410" t="n"/>
      <c r="D111" s="410" t="n"/>
      <c r="E111" s="410" t="n"/>
      <c r="F111" s="410" t="n"/>
      <c r="G111" s="410" t="n"/>
      <c r="H111" s="410" t="n"/>
      <c r="I111" s="410" t="n"/>
      <c r="J111" s="410" t="n"/>
      <c r="K111" s="410" t="n"/>
      <c r="L111" s="410" t="n"/>
      <c r="M111" s="410" t="n"/>
      <c r="N111" s="410" t="n"/>
      <c r="O111" s="410" t="n"/>
      <c r="P111" s="410" t="n"/>
      <c r="Q111" s="410" t="n"/>
      <c r="R111" s="410" t="n"/>
      <c r="S111" s="410" t="n"/>
      <c r="T111" s="410" t="n"/>
      <c r="U111" s="410" t="n"/>
      <c r="V111" s="410" t="n"/>
      <c r="W111" s="410" t="n"/>
      <c r="X111" s="410" t="n"/>
      <c r="Y111" s="410" t="n"/>
    </row>
    <row r="112" ht="16.5" customHeight="1" s="408">
      <c r="A112" s="410" t="n"/>
      <c r="B112" s="410" t="n"/>
      <c r="C112" s="410" t="n"/>
      <c r="D112" s="410" t="n"/>
      <c r="E112" s="410" t="n"/>
      <c r="F112" s="410" t="n"/>
      <c r="G112" s="410" t="n"/>
      <c r="H112" s="410" t="n"/>
      <c r="I112" s="410" t="n"/>
      <c r="J112" s="410" t="n"/>
      <c r="K112" s="410" t="n"/>
      <c r="L112" s="410" t="n"/>
      <c r="M112" s="410" t="n"/>
      <c r="N112" s="410" t="n"/>
      <c r="O112" s="410" t="n"/>
      <c r="P112" s="410" t="n"/>
      <c r="Q112" s="410" t="n"/>
      <c r="R112" s="410" t="n"/>
      <c r="S112" s="410" t="n"/>
      <c r="T112" s="410" t="n"/>
      <c r="U112" s="410" t="n"/>
      <c r="V112" s="410" t="n"/>
      <c r="W112" s="410" t="n"/>
      <c r="X112" s="410" t="n"/>
      <c r="Y112" s="410" t="n"/>
    </row>
    <row r="113" ht="16.5" customHeight="1" s="408">
      <c r="A113" s="410" t="n"/>
      <c r="B113" s="410" t="n"/>
      <c r="C113" s="410" t="n"/>
      <c r="D113" s="410" t="n"/>
      <c r="E113" s="410" t="n"/>
      <c r="F113" s="410" t="n"/>
      <c r="G113" s="410" t="n"/>
      <c r="H113" s="410" t="n"/>
      <c r="I113" s="410" t="n"/>
      <c r="J113" s="410" t="n"/>
      <c r="K113" s="410" t="n"/>
      <c r="L113" s="410" t="n"/>
      <c r="M113" s="410" t="n"/>
      <c r="N113" s="410" t="n"/>
      <c r="O113" s="410" t="n"/>
      <c r="P113" s="410" t="n"/>
      <c r="Q113" s="410" t="n"/>
      <c r="R113" s="410" t="n"/>
      <c r="S113" s="410" t="n"/>
      <c r="T113" s="410" t="n"/>
      <c r="U113" s="410" t="n"/>
      <c r="V113" s="410" t="n"/>
      <c r="W113" s="410" t="n"/>
      <c r="X113" s="410" t="n"/>
      <c r="Y113" s="410" t="n"/>
    </row>
    <row r="114" ht="16.5" customHeight="1" s="408">
      <c r="A114" s="410" t="n"/>
      <c r="B114" s="410" t="n"/>
      <c r="C114" s="410" t="n"/>
      <c r="D114" s="410" t="n"/>
      <c r="E114" s="410" t="n"/>
      <c r="F114" s="410" t="n"/>
      <c r="G114" s="410" t="n"/>
      <c r="H114" s="410" t="n"/>
      <c r="I114" s="410" t="n"/>
      <c r="J114" s="410" t="n"/>
      <c r="K114" s="410" t="n"/>
      <c r="L114" s="410" t="n"/>
      <c r="M114" s="410" t="n"/>
      <c r="N114" s="410" t="n"/>
      <c r="O114" s="410" t="n"/>
      <c r="P114" s="410" t="n"/>
      <c r="Q114" s="410" t="n"/>
      <c r="R114" s="410" t="n"/>
      <c r="S114" s="410" t="n"/>
      <c r="T114" s="410" t="n"/>
      <c r="U114" s="410" t="n"/>
      <c r="V114" s="410" t="n"/>
      <c r="W114" s="410" t="n"/>
      <c r="X114" s="410" t="n"/>
      <c r="Y114" s="410" t="n"/>
    </row>
    <row r="115" ht="16.5" customHeight="1" s="408">
      <c r="A115" s="410" t="n"/>
      <c r="B115" s="410" t="n"/>
      <c r="C115" s="410" t="n"/>
      <c r="D115" s="410" t="n"/>
      <c r="E115" s="410" t="n"/>
      <c r="F115" s="410" t="n"/>
      <c r="G115" s="410" t="n"/>
      <c r="H115" s="410" t="n"/>
      <c r="I115" s="410" t="n"/>
      <c r="J115" s="410" t="n"/>
      <c r="K115" s="410" t="n"/>
      <c r="L115" s="410" t="n"/>
      <c r="M115" s="410" t="n"/>
      <c r="N115" s="410" t="n"/>
      <c r="O115" s="410" t="n"/>
      <c r="P115" s="410" t="n"/>
      <c r="Q115" s="410" t="n"/>
      <c r="R115" s="410" t="n"/>
      <c r="S115" s="410" t="n"/>
      <c r="T115" s="410" t="n"/>
      <c r="U115" s="410" t="n"/>
      <c r="V115" s="410" t="n"/>
      <c r="W115" s="410" t="n"/>
      <c r="X115" s="410" t="n"/>
      <c r="Y115" s="410" t="n"/>
    </row>
    <row r="116" ht="16.5" customHeight="1" s="408">
      <c r="A116" s="410" t="n"/>
      <c r="B116" s="410" t="n"/>
      <c r="C116" s="410" t="n"/>
      <c r="D116" s="410" t="n"/>
      <c r="E116" s="410" t="n"/>
      <c r="F116" s="410" t="n"/>
      <c r="G116" s="410" t="n"/>
      <c r="H116" s="410" t="n"/>
      <c r="I116" s="410" t="n"/>
      <c r="J116" s="410" t="n"/>
      <c r="K116" s="410" t="n"/>
      <c r="L116" s="410" t="n"/>
      <c r="M116" s="410" t="n"/>
      <c r="N116" s="410" t="n"/>
      <c r="O116" s="410" t="n"/>
      <c r="P116" s="410" t="n"/>
      <c r="Q116" s="410" t="n"/>
      <c r="R116" s="410" t="n"/>
      <c r="S116" s="410" t="n"/>
      <c r="T116" s="410" t="n"/>
      <c r="U116" s="410" t="n"/>
      <c r="V116" s="410" t="n"/>
      <c r="W116" s="410" t="n"/>
      <c r="X116" s="410" t="n"/>
      <c r="Y116" s="410" t="n"/>
    </row>
    <row r="117" ht="16.5" customHeight="1" s="408">
      <c r="A117" s="410" t="n"/>
      <c r="B117" s="410" t="n"/>
      <c r="C117" s="410" t="n"/>
      <c r="D117" s="410" t="n"/>
      <c r="E117" s="410" t="n"/>
      <c r="F117" s="410" t="n"/>
      <c r="G117" s="410" t="n"/>
      <c r="H117" s="410" t="n"/>
      <c r="I117" s="410" t="n"/>
      <c r="J117" s="410" t="n"/>
      <c r="K117" s="410" t="n"/>
      <c r="L117" s="410" t="n"/>
      <c r="M117" s="410" t="n"/>
      <c r="N117" s="410" t="n"/>
      <c r="O117" s="410" t="n"/>
      <c r="P117" s="410" t="n"/>
      <c r="Q117" s="410" t="n"/>
      <c r="R117" s="410" t="n"/>
      <c r="S117" s="410" t="n"/>
      <c r="T117" s="410" t="n"/>
      <c r="U117" s="410" t="n"/>
      <c r="V117" s="410" t="n"/>
      <c r="W117" s="410" t="n"/>
      <c r="X117" s="410" t="n"/>
      <c r="Y117" s="410" t="n"/>
    </row>
    <row r="118" ht="16.5" customHeight="1" s="408">
      <c r="A118" s="410" t="n"/>
      <c r="B118" s="410" t="n"/>
      <c r="C118" s="410" t="n"/>
      <c r="D118" s="410" t="n"/>
      <c r="E118" s="410" t="n"/>
      <c r="F118" s="410" t="n"/>
      <c r="G118" s="410" t="n"/>
      <c r="H118" s="410" t="n"/>
      <c r="I118" s="410" t="n"/>
      <c r="J118" s="410" t="n"/>
      <c r="K118" s="410" t="n"/>
      <c r="L118" s="410" t="n"/>
      <c r="M118" s="410" t="n"/>
      <c r="N118" s="410" t="n"/>
      <c r="O118" s="410" t="n"/>
      <c r="P118" s="410" t="n"/>
      <c r="Q118" s="410" t="n"/>
      <c r="R118" s="410" t="n"/>
      <c r="S118" s="410" t="n"/>
      <c r="T118" s="410" t="n"/>
      <c r="U118" s="410" t="n"/>
      <c r="V118" s="410" t="n"/>
      <c r="W118" s="410" t="n"/>
      <c r="X118" s="410" t="n"/>
      <c r="Y118" s="410" t="n"/>
    </row>
    <row r="119" ht="16.5" customHeight="1" s="408">
      <c r="A119" s="410" t="n"/>
      <c r="B119" s="410" t="n"/>
      <c r="C119" s="410" t="n"/>
      <c r="D119" s="410" t="n"/>
      <c r="E119" s="410" t="n"/>
      <c r="F119" s="410" t="n"/>
      <c r="G119" s="410" t="n"/>
      <c r="H119" s="410" t="n"/>
      <c r="I119" s="410" t="n"/>
      <c r="J119" s="410" t="n"/>
      <c r="K119" s="410" t="n"/>
      <c r="L119" s="410" t="n"/>
      <c r="M119" s="410" t="n"/>
      <c r="N119" s="410" t="n"/>
      <c r="O119" s="410" t="n"/>
      <c r="P119" s="410" t="n"/>
      <c r="Q119" s="410" t="n"/>
      <c r="R119" s="410" t="n"/>
      <c r="S119" s="410" t="n"/>
      <c r="T119" s="410" t="n"/>
      <c r="U119" s="410" t="n"/>
      <c r="V119" s="410" t="n"/>
      <c r="W119" s="410" t="n"/>
      <c r="X119" s="410" t="n"/>
      <c r="Y119" s="410" t="n"/>
    </row>
    <row r="120" ht="16.5" customHeight="1" s="408">
      <c r="A120" s="410" t="n"/>
      <c r="B120" s="410" t="n"/>
      <c r="C120" s="410" t="n"/>
      <c r="D120" s="410" t="n"/>
      <c r="E120" s="410" t="n"/>
      <c r="F120" s="410" t="n"/>
      <c r="G120" s="410" t="n"/>
      <c r="H120" s="410" t="n"/>
      <c r="I120" s="410" t="n"/>
      <c r="J120" s="410" t="n"/>
      <c r="K120" s="410" t="n"/>
      <c r="L120" s="410" t="n"/>
      <c r="M120" s="410" t="n"/>
      <c r="N120" s="410" t="n"/>
      <c r="O120" s="410" t="n"/>
      <c r="P120" s="410" t="n"/>
      <c r="Q120" s="410" t="n"/>
      <c r="R120" s="410" t="n"/>
      <c r="S120" s="410" t="n"/>
      <c r="T120" s="410" t="n"/>
      <c r="U120" s="410" t="n"/>
      <c r="V120" s="410" t="n"/>
      <c r="W120" s="410" t="n"/>
      <c r="X120" s="410" t="n"/>
      <c r="Y120" s="410" t="n"/>
    </row>
    <row r="121" ht="16.5" customHeight="1" s="408">
      <c r="A121" s="410" t="n"/>
      <c r="B121" s="410" t="n"/>
      <c r="C121" s="410" t="n"/>
      <c r="D121" s="410" t="n"/>
      <c r="E121" s="410" t="n"/>
      <c r="F121" s="410" t="n"/>
      <c r="G121" s="410" t="n"/>
      <c r="H121" s="410" t="n"/>
      <c r="I121" s="410" t="n"/>
      <c r="J121" s="410" t="n"/>
      <c r="K121" s="410" t="n"/>
      <c r="L121" s="410" t="n"/>
      <c r="M121" s="410" t="n"/>
      <c r="N121" s="410" t="n"/>
      <c r="O121" s="410" t="n"/>
      <c r="P121" s="410" t="n"/>
      <c r="Q121" s="410" t="n"/>
      <c r="R121" s="410" t="n"/>
      <c r="S121" s="410" t="n"/>
      <c r="T121" s="410" t="n"/>
      <c r="U121" s="410" t="n"/>
      <c r="V121" s="410" t="n"/>
      <c r="W121" s="410" t="n"/>
      <c r="X121" s="410" t="n"/>
      <c r="Y121" s="410" t="n"/>
    </row>
    <row r="122" ht="16.5" customHeight="1" s="408">
      <c r="A122" s="410" t="n"/>
      <c r="B122" s="410" t="n"/>
      <c r="C122" s="410" t="n"/>
      <c r="D122" s="410" t="n"/>
      <c r="E122" s="410" t="n"/>
      <c r="F122" s="410" t="n"/>
      <c r="G122" s="410" t="n"/>
      <c r="H122" s="410" t="n"/>
      <c r="I122" s="410" t="n"/>
      <c r="J122" s="410" t="n"/>
      <c r="K122" s="410" t="n"/>
      <c r="L122" s="410" t="n"/>
      <c r="M122" s="410" t="n"/>
      <c r="N122" s="410" t="n"/>
      <c r="O122" s="410" t="n"/>
      <c r="P122" s="410" t="n"/>
      <c r="Q122" s="410" t="n"/>
      <c r="R122" s="410" t="n"/>
      <c r="S122" s="410" t="n"/>
      <c r="T122" s="410" t="n"/>
      <c r="U122" s="410" t="n"/>
      <c r="V122" s="410" t="n"/>
      <c r="W122" s="410" t="n"/>
      <c r="X122" s="410" t="n"/>
      <c r="Y122" s="410" t="n"/>
    </row>
    <row r="123" ht="16.5" customHeight="1" s="408">
      <c r="A123" s="410" t="n"/>
      <c r="B123" s="410" t="n"/>
      <c r="C123" s="410" t="n"/>
      <c r="D123" s="410" t="n"/>
      <c r="E123" s="410" t="n"/>
      <c r="F123" s="410" t="n"/>
      <c r="G123" s="410" t="n"/>
      <c r="H123" s="410" t="n"/>
      <c r="I123" s="410" t="n"/>
      <c r="J123" s="410" t="n"/>
      <c r="K123" s="410" t="n"/>
      <c r="L123" s="410" t="n"/>
      <c r="M123" s="410" t="n"/>
      <c r="N123" s="410" t="n"/>
      <c r="O123" s="410" t="n"/>
      <c r="P123" s="410" t="n"/>
      <c r="Q123" s="410" t="n"/>
      <c r="R123" s="410" t="n"/>
      <c r="S123" s="410" t="n"/>
      <c r="T123" s="410" t="n"/>
      <c r="U123" s="410" t="n"/>
      <c r="V123" s="410" t="n"/>
      <c r="W123" s="410" t="n"/>
      <c r="X123" s="410" t="n"/>
      <c r="Y123" s="410" t="n"/>
    </row>
    <row r="124" ht="16.5" customHeight="1" s="408">
      <c r="A124" s="410" t="n"/>
      <c r="B124" s="410" t="n"/>
      <c r="C124" s="410" t="n"/>
      <c r="D124" s="410" t="n"/>
      <c r="E124" s="410" t="n"/>
      <c r="F124" s="410" t="n"/>
      <c r="G124" s="410" t="n"/>
      <c r="H124" s="410" t="n"/>
      <c r="I124" s="410" t="n"/>
      <c r="J124" s="410" t="n"/>
      <c r="K124" s="410" t="n"/>
      <c r="L124" s="410" t="n"/>
      <c r="M124" s="410" t="n"/>
      <c r="N124" s="410" t="n"/>
      <c r="O124" s="410" t="n"/>
      <c r="P124" s="410" t="n"/>
      <c r="Q124" s="410" t="n"/>
      <c r="R124" s="410" t="n"/>
      <c r="S124" s="410" t="n"/>
      <c r="T124" s="410" t="n"/>
      <c r="U124" s="410" t="n"/>
      <c r="V124" s="410" t="n"/>
      <c r="W124" s="410" t="n"/>
      <c r="X124" s="410" t="n"/>
      <c r="Y124" s="410" t="n"/>
    </row>
    <row r="125" ht="16.5" customHeight="1" s="408">
      <c r="A125" s="410" t="n"/>
      <c r="B125" s="410" t="n"/>
      <c r="C125" s="410" t="n"/>
      <c r="D125" s="410" t="n"/>
      <c r="E125" s="410" t="n"/>
      <c r="F125" s="410" t="n"/>
      <c r="G125" s="410" t="n"/>
      <c r="H125" s="410" t="n"/>
      <c r="I125" s="410" t="n"/>
      <c r="J125" s="410" t="n"/>
      <c r="K125" s="410" t="n"/>
      <c r="L125" s="410" t="n"/>
      <c r="M125" s="410" t="n"/>
      <c r="N125" s="410" t="n"/>
      <c r="O125" s="410" t="n"/>
      <c r="P125" s="410" t="n"/>
      <c r="Q125" s="410" t="n"/>
      <c r="R125" s="410" t="n"/>
      <c r="S125" s="410" t="n"/>
      <c r="T125" s="410" t="n"/>
      <c r="U125" s="410" t="n"/>
      <c r="V125" s="410" t="n"/>
      <c r="W125" s="410" t="n"/>
      <c r="X125" s="410" t="n"/>
      <c r="Y125" s="410" t="n"/>
    </row>
    <row r="126" ht="16.5" customHeight="1" s="408">
      <c r="A126" s="410" t="n"/>
      <c r="B126" s="410" t="n"/>
      <c r="C126" s="410" t="n"/>
      <c r="D126" s="410" t="n"/>
      <c r="E126" s="410" t="n"/>
      <c r="F126" s="410" t="n"/>
      <c r="G126" s="410" t="n"/>
      <c r="H126" s="410" t="n"/>
      <c r="I126" s="410" t="n"/>
      <c r="J126" s="410" t="n"/>
      <c r="K126" s="410" t="n"/>
      <c r="L126" s="410" t="n"/>
      <c r="M126" s="410" t="n"/>
      <c r="N126" s="410" t="n"/>
      <c r="O126" s="410" t="n"/>
      <c r="P126" s="410" t="n"/>
      <c r="Q126" s="410" t="n"/>
      <c r="R126" s="410" t="n"/>
      <c r="S126" s="410" t="n"/>
      <c r="T126" s="410" t="n"/>
      <c r="U126" s="410" t="n"/>
      <c r="V126" s="410" t="n"/>
      <c r="W126" s="410" t="n"/>
      <c r="X126" s="410" t="n"/>
      <c r="Y126" s="410" t="n"/>
    </row>
    <row r="127" ht="16.5" customHeight="1" s="408">
      <c r="A127" s="410" t="n"/>
      <c r="B127" s="410" t="n"/>
      <c r="C127" s="410" t="n"/>
      <c r="D127" s="410" t="n"/>
      <c r="E127" s="410" t="n"/>
      <c r="F127" s="410" t="n"/>
      <c r="G127" s="410" t="n"/>
      <c r="H127" s="410" t="n"/>
      <c r="I127" s="410" t="n"/>
      <c r="J127" s="410" t="n"/>
      <c r="K127" s="410" t="n"/>
      <c r="L127" s="410" t="n"/>
      <c r="M127" s="410" t="n"/>
      <c r="N127" s="410" t="n"/>
      <c r="O127" s="410" t="n"/>
      <c r="P127" s="410" t="n"/>
      <c r="Q127" s="410" t="n"/>
      <c r="R127" s="410" t="n"/>
      <c r="S127" s="410" t="n"/>
      <c r="T127" s="410" t="n"/>
      <c r="U127" s="410" t="n"/>
      <c r="V127" s="410" t="n"/>
      <c r="W127" s="410" t="n"/>
      <c r="X127" s="410" t="n"/>
      <c r="Y127" s="410" t="n"/>
    </row>
    <row r="128" ht="16.5" customHeight="1" s="408">
      <c r="A128" s="410" t="n"/>
      <c r="B128" s="410" t="n"/>
      <c r="C128" s="410" t="n"/>
      <c r="D128" s="410" t="n"/>
      <c r="E128" s="410" t="n"/>
      <c r="F128" s="410" t="n"/>
      <c r="G128" s="410" t="n"/>
      <c r="H128" s="410" t="n"/>
      <c r="I128" s="410" t="n"/>
      <c r="J128" s="410" t="n"/>
      <c r="K128" s="410" t="n"/>
      <c r="L128" s="410" t="n"/>
      <c r="M128" s="410" t="n"/>
      <c r="N128" s="410" t="n"/>
      <c r="O128" s="410" t="n"/>
      <c r="P128" s="410" t="n"/>
      <c r="Q128" s="410" t="n"/>
      <c r="R128" s="410" t="n"/>
      <c r="S128" s="410" t="n"/>
      <c r="T128" s="410" t="n"/>
      <c r="U128" s="410" t="n"/>
      <c r="V128" s="410" t="n"/>
      <c r="W128" s="410" t="n"/>
      <c r="X128" s="410" t="n"/>
      <c r="Y128" s="410" t="n"/>
    </row>
    <row r="129" ht="16.5" customHeight="1" s="408">
      <c r="A129" s="410" t="n"/>
      <c r="B129" s="410" t="n"/>
      <c r="C129" s="410" t="n"/>
      <c r="D129" s="410" t="n"/>
      <c r="E129" s="410" t="n"/>
      <c r="F129" s="410" t="n"/>
      <c r="G129" s="410" t="n"/>
      <c r="H129" s="410" t="n"/>
      <c r="I129" s="410" t="n"/>
      <c r="J129" s="410" t="n"/>
      <c r="K129" s="410" t="n"/>
      <c r="L129" s="410" t="n"/>
      <c r="M129" s="410" t="n"/>
      <c r="N129" s="410" t="n"/>
      <c r="O129" s="410" t="n"/>
      <c r="P129" s="410" t="n"/>
      <c r="Q129" s="410" t="n"/>
      <c r="R129" s="410" t="n"/>
      <c r="S129" s="410" t="n"/>
      <c r="T129" s="410" t="n"/>
      <c r="U129" s="410" t="n"/>
      <c r="V129" s="410" t="n"/>
      <c r="W129" s="410" t="n"/>
      <c r="X129" s="410" t="n"/>
      <c r="Y129" s="410" t="n"/>
    </row>
    <row r="130" ht="16.5" customHeight="1" s="408">
      <c r="A130" s="410" t="n"/>
      <c r="B130" s="410" t="n"/>
      <c r="C130" s="410" t="n"/>
      <c r="D130" s="410" t="n"/>
      <c r="E130" s="410" t="n"/>
      <c r="F130" s="410" t="n"/>
      <c r="G130" s="410" t="n"/>
      <c r="H130" s="410" t="n"/>
      <c r="I130" s="410" t="n"/>
      <c r="J130" s="410" t="n"/>
      <c r="K130" s="410" t="n"/>
      <c r="L130" s="410" t="n"/>
      <c r="M130" s="410" t="n"/>
      <c r="N130" s="410" t="n"/>
      <c r="O130" s="410" t="n"/>
      <c r="P130" s="410" t="n"/>
      <c r="Q130" s="410" t="n"/>
      <c r="R130" s="410" t="n"/>
      <c r="S130" s="410" t="n"/>
      <c r="T130" s="410" t="n"/>
      <c r="U130" s="410" t="n"/>
      <c r="V130" s="410" t="n"/>
      <c r="W130" s="410" t="n"/>
      <c r="X130" s="410" t="n"/>
      <c r="Y130" s="410" t="n"/>
    </row>
    <row r="131" ht="16.5" customHeight="1" s="408">
      <c r="A131" s="410" t="n"/>
      <c r="B131" s="410" t="n"/>
      <c r="C131" s="410" t="n"/>
      <c r="D131" s="410" t="n"/>
      <c r="E131" s="410" t="n"/>
      <c r="F131" s="410" t="n"/>
      <c r="G131" s="410" t="n"/>
      <c r="H131" s="410" t="n"/>
      <c r="I131" s="410" t="n"/>
      <c r="J131" s="410" t="n"/>
      <c r="K131" s="410" t="n"/>
      <c r="L131" s="410" t="n"/>
      <c r="M131" s="410" t="n"/>
      <c r="N131" s="410" t="n"/>
      <c r="O131" s="410" t="n"/>
      <c r="P131" s="410" t="n"/>
      <c r="Q131" s="410" t="n"/>
      <c r="R131" s="410" t="n"/>
      <c r="S131" s="410" t="n"/>
      <c r="T131" s="410" t="n"/>
      <c r="U131" s="410" t="n"/>
      <c r="V131" s="410" t="n"/>
      <c r="W131" s="410" t="n"/>
      <c r="X131" s="410" t="n"/>
      <c r="Y131" s="410" t="n"/>
    </row>
    <row r="132" ht="16.5" customHeight="1" s="408">
      <c r="A132" s="410" t="n"/>
      <c r="B132" s="410" t="n"/>
      <c r="C132" s="410" t="n"/>
      <c r="D132" s="410" t="n"/>
      <c r="E132" s="410" t="n"/>
      <c r="F132" s="410" t="n"/>
      <c r="G132" s="410" t="n"/>
      <c r="H132" s="410" t="n"/>
      <c r="I132" s="410" t="n"/>
      <c r="J132" s="410" t="n"/>
      <c r="K132" s="410" t="n"/>
      <c r="L132" s="410" t="n"/>
      <c r="M132" s="410" t="n"/>
      <c r="N132" s="410" t="n"/>
      <c r="O132" s="410" t="n"/>
      <c r="P132" s="410" t="n"/>
      <c r="Q132" s="410" t="n"/>
      <c r="R132" s="410" t="n"/>
      <c r="S132" s="410" t="n"/>
      <c r="T132" s="410" t="n"/>
      <c r="U132" s="410" t="n"/>
      <c r="V132" s="410" t="n"/>
      <c r="W132" s="410" t="n"/>
      <c r="X132" s="410" t="n"/>
      <c r="Y132" s="410" t="n"/>
    </row>
    <row r="133" ht="16.5" customHeight="1" s="408">
      <c r="A133" s="410" t="n"/>
      <c r="B133" s="410" t="n"/>
      <c r="C133" s="410" t="n"/>
      <c r="D133" s="410" t="n"/>
      <c r="E133" s="410" t="n"/>
      <c r="F133" s="410" t="n"/>
      <c r="G133" s="410" t="n"/>
      <c r="H133" s="410" t="n"/>
      <c r="I133" s="410" t="n"/>
      <c r="J133" s="410" t="n"/>
      <c r="K133" s="410" t="n"/>
      <c r="L133" s="410" t="n"/>
      <c r="M133" s="410" t="n"/>
      <c r="N133" s="410" t="n"/>
      <c r="O133" s="410" t="n"/>
      <c r="P133" s="410" t="n"/>
      <c r="Q133" s="410" t="n"/>
      <c r="R133" s="410" t="n"/>
      <c r="S133" s="410" t="n"/>
      <c r="T133" s="410" t="n"/>
      <c r="U133" s="410" t="n"/>
      <c r="V133" s="410" t="n"/>
      <c r="W133" s="410" t="n"/>
      <c r="X133" s="410" t="n"/>
      <c r="Y133" s="410" t="n"/>
    </row>
    <row r="134" ht="16.5" customHeight="1" s="408">
      <c r="A134" s="410" t="n"/>
      <c r="B134" s="410" t="n"/>
      <c r="C134" s="410" t="n"/>
      <c r="D134" s="410" t="n"/>
      <c r="E134" s="410" t="n"/>
      <c r="F134" s="410" t="n"/>
      <c r="G134" s="410" t="n"/>
      <c r="H134" s="410" t="n"/>
      <c r="I134" s="410" t="n"/>
      <c r="J134" s="410" t="n"/>
      <c r="K134" s="410" t="n"/>
      <c r="L134" s="410" t="n"/>
      <c r="M134" s="410" t="n"/>
      <c r="N134" s="410" t="n"/>
      <c r="O134" s="410" t="n"/>
      <c r="P134" s="410" t="n"/>
      <c r="Q134" s="410" t="n"/>
      <c r="R134" s="410" t="n"/>
      <c r="S134" s="410" t="n"/>
      <c r="T134" s="410" t="n"/>
      <c r="U134" s="410" t="n"/>
      <c r="V134" s="410" t="n"/>
      <c r="W134" s="410" t="n"/>
      <c r="X134" s="410" t="n"/>
      <c r="Y134" s="410" t="n"/>
    </row>
    <row r="135" ht="16.5" customHeight="1" s="408">
      <c r="A135" s="410" t="n"/>
      <c r="B135" s="410" t="n"/>
      <c r="C135" s="410" t="n"/>
      <c r="D135" s="410" t="n"/>
      <c r="E135" s="410" t="n"/>
      <c r="F135" s="410" t="n"/>
      <c r="G135" s="410" t="n"/>
      <c r="H135" s="410" t="n"/>
      <c r="I135" s="410" t="n"/>
      <c r="J135" s="410" t="n"/>
      <c r="K135" s="410" t="n"/>
      <c r="L135" s="410" t="n"/>
      <c r="M135" s="410" t="n"/>
      <c r="N135" s="410" t="n"/>
      <c r="O135" s="410" t="n"/>
      <c r="P135" s="410" t="n"/>
      <c r="Q135" s="410" t="n"/>
      <c r="R135" s="410" t="n"/>
      <c r="S135" s="410" t="n"/>
      <c r="T135" s="410" t="n"/>
      <c r="U135" s="410" t="n"/>
      <c r="V135" s="410" t="n"/>
      <c r="W135" s="410" t="n"/>
      <c r="X135" s="410" t="n"/>
      <c r="Y135" s="410" t="n"/>
    </row>
    <row r="136" ht="16.5" customHeight="1" s="408">
      <c r="A136" s="410" t="n"/>
      <c r="B136" s="410" t="n"/>
      <c r="C136" s="410" t="n"/>
      <c r="D136" s="410" t="n"/>
      <c r="E136" s="410" t="n"/>
      <c r="F136" s="410" t="n"/>
      <c r="G136" s="410" t="n"/>
      <c r="H136" s="410" t="n"/>
      <c r="I136" s="410" t="n"/>
      <c r="J136" s="410" t="n"/>
      <c r="K136" s="410" t="n"/>
      <c r="L136" s="410" t="n"/>
      <c r="M136" s="410" t="n"/>
      <c r="N136" s="410" t="n"/>
      <c r="O136" s="410" t="n"/>
      <c r="P136" s="410" t="n"/>
      <c r="Q136" s="410" t="n"/>
      <c r="R136" s="410" t="n"/>
      <c r="S136" s="410" t="n"/>
      <c r="T136" s="410" t="n"/>
      <c r="U136" s="410" t="n"/>
      <c r="V136" s="410" t="n"/>
      <c r="W136" s="410" t="n"/>
      <c r="X136" s="410" t="n"/>
      <c r="Y136" s="410" t="n"/>
    </row>
    <row r="137" ht="16.5" customHeight="1" s="408">
      <c r="A137" s="410" t="n"/>
      <c r="B137" s="410" t="n"/>
      <c r="C137" s="410" t="n"/>
      <c r="D137" s="410" t="n"/>
      <c r="E137" s="410" t="n"/>
      <c r="F137" s="410" t="n"/>
      <c r="G137" s="410" t="n"/>
      <c r="H137" s="410" t="n"/>
      <c r="I137" s="410" t="n"/>
      <c r="J137" s="410" t="n"/>
      <c r="K137" s="410" t="n"/>
      <c r="L137" s="410" t="n"/>
      <c r="M137" s="410" t="n"/>
      <c r="N137" s="410" t="n"/>
      <c r="O137" s="410" t="n"/>
      <c r="P137" s="410" t="n"/>
      <c r="Q137" s="410" t="n"/>
      <c r="R137" s="410" t="n"/>
      <c r="S137" s="410" t="n"/>
      <c r="T137" s="410" t="n"/>
      <c r="U137" s="410" t="n"/>
      <c r="V137" s="410" t="n"/>
      <c r="W137" s="410" t="n"/>
      <c r="X137" s="410" t="n"/>
      <c r="Y137" s="410" t="n"/>
    </row>
    <row r="138" ht="16.5" customHeight="1" s="408">
      <c r="A138" s="410" t="n"/>
      <c r="B138" s="410" t="n"/>
      <c r="C138" s="410" t="n"/>
      <c r="D138" s="410" t="n"/>
      <c r="E138" s="410" t="n"/>
      <c r="F138" s="410" t="n"/>
      <c r="G138" s="410" t="n"/>
      <c r="H138" s="410" t="n"/>
      <c r="I138" s="410" t="n"/>
      <c r="J138" s="410" t="n"/>
      <c r="K138" s="410" t="n"/>
      <c r="L138" s="410" t="n"/>
      <c r="M138" s="410" t="n"/>
      <c r="N138" s="410" t="n"/>
      <c r="O138" s="410" t="n"/>
      <c r="P138" s="410" t="n"/>
      <c r="Q138" s="410" t="n"/>
      <c r="R138" s="410" t="n"/>
      <c r="S138" s="410" t="n"/>
      <c r="T138" s="410" t="n"/>
      <c r="U138" s="410" t="n"/>
      <c r="V138" s="410" t="n"/>
      <c r="W138" s="410" t="n"/>
      <c r="X138" s="410" t="n"/>
      <c r="Y138" s="410" t="n"/>
    </row>
    <row r="139" ht="16.5" customHeight="1" s="408">
      <c r="A139" s="410" t="n"/>
      <c r="B139" s="410" t="n"/>
      <c r="C139" s="410" t="n"/>
      <c r="D139" s="410" t="n"/>
      <c r="E139" s="410" t="n"/>
      <c r="F139" s="410" t="n"/>
      <c r="G139" s="410" t="n"/>
      <c r="H139" s="410" t="n"/>
      <c r="I139" s="410" t="n"/>
      <c r="J139" s="410" t="n"/>
      <c r="K139" s="410" t="n"/>
      <c r="L139" s="410" t="n"/>
      <c r="M139" s="410" t="n"/>
      <c r="N139" s="410" t="n"/>
      <c r="O139" s="410" t="n"/>
      <c r="P139" s="410" t="n"/>
      <c r="Q139" s="410" t="n"/>
      <c r="R139" s="410" t="n"/>
      <c r="S139" s="410" t="n"/>
      <c r="T139" s="410" t="n"/>
      <c r="U139" s="410" t="n"/>
      <c r="V139" s="410" t="n"/>
      <c r="W139" s="410" t="n"/>
      <c r="X139" s="410" t="n"/>
      <c r="Y139" s="410" t="n"/>
    </row>
    <row r="140" ht="16.5" customHeight="1" s="408">
      <c r="A140" s="410" t="n"/>
      <c r="B140" s="410" t="n"/>
      <c r="C140" s="410" t="n"/>
      <c r="D140" s="410" t="n"/>
      <c r="E140" s="410" t="n"/>
      <c r="F140" s="410" t="n"/>
      <c r="G140" s="410" t="n"/>
      <c r="H140" s="410" t="n"/>
      <c r="I140" s="410" t="n"/>
      <c r="J140" s="410" t="n"/>
      <c r="K140" s="410" t="n"/>
      <c r="L140" s="410" t="n"/>
      <c r="M140" s="410" t="n"/>
      <c r="N140" s="410" t="n"/>
      <c r="O140" s="410" t="n"/>
      <c r="P140" s="410" t="n"/>
      <c r="Q140" s="410" t="n"/>
      <c r="R140" s="410" t="n"/>
      <c r="S140" s="410" t="n"/>
      <c r="T140" s="410" t="n"/>
      <c r="U140" s="410" t="n"/>
      <c r="V140" s="410" t="n"/>
      <c r="W140" s="410" t="n"/>
      <c r="X140" s="410" t="n"/>
      <c r="Y140" s="410" t="n"/>
    </row>
    <row r="141" ht="16.5" customHeight="1" s="408">
      <c r="A141" s="410" t="n"/>
      <c r="B141" s="410" t="n"/>
      <c r="C141" s="410" t="n"/>
      <c r="D141" s="410" t="n"/>
      <c r="E141" s="410" t="n"/>
      <c r="F141" s="410" t="n"/>
      <c r="G141" s="410" t="n"/>
      <c r="H141" s="410" t="n"/>
      <c r="I141" s="410" t="n"/>
      <c r="J141" s="410" t="n"/>
      <c r="K141" s="410" t="n"/>
      <c r="L141" s="410" t="n"/>
      <c r="M141" s="410" t="n"/>
      <c r="N141" s="410" t="n"/>
      <c r="O141" s="410" t="n"/>
      <c r="P141" s="410" t="n"/>
      <c r="Q141" s="410" t="n"/>
      <c r="R141" s="410" t="n"/>
      <c r="S141" s="410" t="n"/>
      <c r="T141" s="410" t="n"/>
      <c r="U141" s="410" t="n"/>
      <c r="V141" s="410" t="n"/>
      <c r="W141" s="410" t="n"/>
      <c r="X141" s="410" t="n"/>
      <c r="Y141" s="410" t="n"/>
    </row>
    <row r="142" ht="16.5" customHeight="1" s="408">
      <c r="A142" s="410" t="n"/>
      <c r="B142" s="410" t="n"/>
      <c r="C142" s="410" t="n"/>
      <c r="D142" s="410" t="n"/>
      <c r="E142" s="410" t="n"/>
      <c r="F142" s="410" t="n"/>
      <c r="G142" s="410" t="n"/>
      <c r="H142" s="410" t="n"/>
      <c r="I142" s="410" t="n"/>
      <c r="J142" s="410" t="n"/>
      <c r="K142" s="410" t="n"/>
      <c r="L142" s="410" t="n"/>
      <c r="M142" s="410" t="n"/>
      <c r="N142" s="410" t="n"/>
      <c r="O142" s="410" t="n"/>
      <c r="P142" s="410" t="n"/>
      <c r="Q142" s="410" t="n"/>
      <c r="R142" s="410" t="n"/>
      <c r="S142" s="410" t="n"/>
      <c r="T142" s="410" t="n"/>
      <c r="U142" s="410" t="n"/>
      <c r="V142" s="410" t="n"/>
      <c r="W142" s="410" t="n"/>
      <c r="X142" s="410" t="n"/>
      <c r="Y142" s="410" t="n"/>
    </row>
    <row r="143" ht="16.5" customHeight="1" s="408">
      <c r="A143" s="410" t="n"/>
      <c r="B143" s="410" t="n"/>
      <c r="C143" s="410" t="n"/>
      <c r="D143" s="410" t="n"/>
      <c r="E143" s="410" t="n"/>
      <c r="F143" s="410" t="n"/>
      <c r="G143" s="410" t="n"/>
      <c r="H143" s="410" t="n"/>
      <c r="I143" s="410" t="n"/>
      <c r="J143" s="410" t="n"/>
      <c r="K143" s="410" t="n"/>
      <c r="L143" s="410" t="n"/>
      <c r="M143" s="410" t="n"/>
      <c r="N143" s="410" t="n"/>
      <c r="O143" s="410" t="n"/>
      <c r="P143" s="410" t="n"/>
      <c r="Q143" s="410" t="n"/>
      <c r="R143" s="410" t="n"/>
      <c r="S143" s="410" t="n"/>
      <c r="T143" s="410" t="n"/>
      <c r="U143" s="410" t="n"/>
      <c r="V143" s="410" t="n"/>
      <c r="W143" s="410" t="n"/>
      <c r="X143" s="410" t="n"/>
      <c r="Y143" s="410" t="n"/>
    </row>
    <row r="144" ht="16.5" customHeight="1" s="408">
      <c r="A144" s="410" t="n"/>
      <c r="B144" s="410" t="n"/>
      <c r="C144" s="410" t="n"/>
      <c r="D144" s="410" t="n"/>
      <c r="E144" s="410" t="n"/>
      <c r="F144" s="410" t="n"/>
      <c r="G144" s="410" t="n"/>
      <c r="H144" s="410" t="n"/>
      <c r="I144" s="410" t="n"/>
      <c r="J144" s="410" t="n"/>
      <c r="K144" s="410" t="n"/>
      <c r="L144" s="410" t="n"/>
      <c r="M144" s="410" t="n"/>
      <c r="N144" s="410" t="n"/>
      <c r="O144" s="410" t="n"/>
      <c r="P144" s="410" t="n"/>
      <c r="Q144" s="410" t="n"/>
      <c r="R144" s="410" t="n"/>
      <c r="S144" s="410" t="n"/>
      <c r="T144" s="410" t="n"/>
      <c r="U144" s="410" t="n"/>
      <c r="V144" s="410" t="n"/>
      <c r="W144" s="410" t="n"/>
      <c r="X144" s="410" t="n"/>
      <c r="Y144" s="410" t="n"/>
    </row>
    <row r="145" ht="16.5" customHeight="1" s="408">
      <c r="A145" s="410" t="n"/>
      <c r="B145" s="410" t="n"/>
      <c r="C145" s="410" t="n"/>
      <c r="D145" s="410" t="n"/>
      <c r="E145" s="410" t="n"/>
      <c r="F145" s="410" t="n"/>
      <c r="G145" s="410" t="n"/>
      <c r="H145" s="410" t="n"/>
      <c r="I145" s="410" t="n"/>
      <c r="J145" s="410" t="n"/>
      <c r="K145" s="410" t="n"/>
      <c r="L145" s="410" t="n"/>
      <c r="M145" s="410" t="n"/>
      <c r="N145" s="410" t="n"/>
      <c r="O145" s="410" t="n"/>
      <c r="P145" s="410" t="n"/>
      <c r="Q145" s="410" t="n"/>
      <c r="R145" s="410" t="n"/>
      <c r="S145" s="410" t="n"/>
      <c r="T145" s="410" t="n"/>
      <c r="U145" s="410" t="n"/>
      <c r="V145" s="410" t="n"/>
      <c r="W145" s="410" t="n"/>
      <c r="X145" s="410" t="n"/>
      <c r="Y145" s="410" t="n"/>
    </row>
    <row r="146" ht="16.5" customHeight="1" s="408">
      <c r="A146" s="410" t="n"/>
      <c r="B146" s="410" t="n"/>
      <c r="C146" s="410" t="n"/>
      <c r="D146" s="410" t="n"/>
      <c r="E146" s="410" t="n"/>
      <c r="F146" s="410" t="n"/>
      <c r="G146" s="410" t="n"/>
      <c r="H146" s="410" t="n"/>
      <c r="I146" s="410" t="n"/>
      <c r="J146" s="410" t="n"/>
      <c r="K146" s="410" t="n"/>
      <c r="L146" s="410" t="n"/>
      <c r="M146" s="410" t="n"/>
      <c r="N146" s="410" t="n"/>
      <c r="O146" s="410" t="n"/>
      <c r="P146" s="410" t="n"/>
      <c r="Q146" s="410" t="n"/>
      <c r="R146" s="410" t="n"/>
      <c r="S146" s="410" t="n"/>
      <c r="T146" s="410" t="n"/>
      <c r="U146" s="410" t="n"/>
      <c r="V146" s="410" t="n"/>
      <c r="W146" s="410" t="n"/>
      <c r="X146" s="410" t="n"/>
      <c r="Y146" s="410" t="n"/>
    </row>
    <row r="147" ht="16.5" customHeight="1" s="408">
      <c r="A147" s="410" t="n"/>
      <c r="B147" s="410" t="n"/>
      <c r="C147" s="410" t="n"/>
      <c r="D147" s="410" t="n"/>
      <c r="E147" s="410" t="n"/>
      <c r="F147" s="410" t="n"/>
      <c r="G147" s="410" t="n"/>
      <c r="H147" s="410" t="n"/>
      <c r="I147" s="410" t="n"/>
      <c r="J147" s="410" t="n"/>
      <c r="K147" s="410" t="n"/>
      <c r="L147" s="410" t="n"/>
      <c r="M147" s="410" t="n"/>
      <c r="N147" s="410" t="n"/>
      <c r="O147" s="410" t="n"/>
      <c r="P147" s="410" t="n"/>
      <c r="Q147" s="410" t="n"/>
      <c r="R147" s="410" t="n"/>
      <c r="S147" s="410" t="n"/>
      <c r="T147" s="410" t="n"/>
      <c r="U147" s="410" t="n"/>
      <c r="V147" s="410" t="n"/>
      <c r="W147" s="410" t="n"/>
      <c r="X147" s="410" t="n"/>
      <c r="Y147" s="410" t="n"/>
    </row>
    <row r="148" ht="16.5" customHeight="1" s="408">
      <c r="A148" s="410" t="n"/>
      <c r="B148" s="410" t="n"/>
      <c r="C148" s="410" t="n"/>
      <c r="D148" s="410" t="n"/>
      <c r="E148" s="410" t="n"/>
      <c r="F148" s="410" t="n"/>
      <c r="G148" s="410" t="n"/>
      <c r="H148" s="410" t="n"/>
      <c r="I148" s="410" t="n"/>
      <c r="J148" s="410" t="n"/>
      <c r="K148" s="410" t="n"/>
      <c r="L148" s="410" t="n"/>
      <c r="M148" s="410" t="n"/>
      <c r="N148" s="410" t="n"/>
      <c r="O148" s="410" t="n"/>
      <c r="P148" s="410" t="n"/>
      <c r="Q148" s="410" t="n"/>
      <c r="R148" s="410" t="n"/>
      <c r="S148" s="410" t="n"/>
      <c r="T148" s="410" t="n"/>
      <c r="U148" s="410" t="n"/>
      <c r="V148" s="410" t="n"/>
      <c r="W148" s="410" t="n"/>
      <c r="X148" s="410" t="n"/>
      <c r="Y148" s="410" t="n"/>
    </row>
    <row r="149" ht="16.5" customHeight="1" s="408">
      <c r="A149" s="410" t="n"/>
      <c r="B149" s="410" t="n"/>
      <c r="C149" s="410" t="n"/>
      <c r="D149" s="410" t="n"/>
      <c r="E149" s="410" t="n"/>
      <c r="F149" s="410" t="n"/>
      <c r="G149" s="410" t="n"/>
      <c r="H149" s="410" t="n"/>
      <c r="I149" s="410" t="n"/>
      <c r="J149" s="410" t="n"/>
      <c r="K149" s="410" t="n"/>
      <c r="L149" s="410" t="n"/>
      <c r="M149" s="410" t="n"/>
      <c r="N149" s="410" t="n"/>
      <c r="O149" s="410" t="n"/>
      <c r="P149" s="410" t="n"/>
      <c r="Q149" s="410" t="n"/>
      <c r="R149" s="410" t="n"/>
      <c r="S149" s="410" t="n"/>
      <c r="T149" s="410" t="n"/>
      <c r="U149" s="410" t="n"/>
      <c r="V149" s="410" t="n"/>
      <c r="W149" s="410" t="n"/>
      <c r="X149" s="410" t="n"/>
      <c r="Y149" s="410" t="n"/>
    </row>
    <row r="150" ht="16.5" customHeight="1" s="408">
      <c r="A150" s="410" t="n"/>
      <c r="B150" s="410" t="n"/>
      <c r="C150" s="410" t="n"/>
      <c r="D150" s="410" t="n"/>
      <c r="E150" s="410" t="n"/>
      <c r="F150" s="410" t="n"/>
      <c r="G150" s="410" t="n"/>
      <c r="H150" s="410" t="n"/>
      <c r="I150" s="410" t="n"/>
      <c r="J150" s="410" t="n"/>
      <c r="K150" s="410" t="n"/>
      <c r="L150" s="410" t="n"/>
      <c r="M150" s="410" t="n"/>
      <c r="N150" s="410" t="n"/>
      <c r="O150" s="410" t="n"/>
      <c r="P150" s="410" t="n"/>
      <c r="Q150" s="410" t="n"/>
      <c r="R150" s="410" t="n"/>
      <c r="S150" s="410" t="n"/>
      <c r="T150" s="410" t="n"/>
      <c r="U150" s="410" t="n"/>
      <c r="V150" s="410" t="n"/>
      <c r="W150" s="410" t="n"/>
      <c r="X150" s="410" t="n"/>
      <c r="Y150" s="410" t="n"/>
    </row>
    <row r="151" ht="16.5" customHeight="1" s="408">
      <c r="A151" s="410" t="n"/>
      <c r="B151" s="410" t="n"/>
      <c r="C151" s="410" t="n"/>
      <c r="D151" s="410" t="n"/>
      <c r="E151" s="410" t="n"/>
      <c r="F151" s="410" t="n"/>
      <c r="G151" s="410" t="n"/>
      <c r="H151" s="410" t="n"/>
      <c r="I151" s="410" t="n"/>
      <c r="J151" s="410" t="n"/>
      <c r="K151" s="410" t="n"/>
      <c r="L151" s="410" t="n"/>
      <c r="M151" s="410" t="n"/>
      <c r="N151" s="410" t="n"/>
      <c r="O151" s="410" t="n"/>
      <c r="P151" s="410" t="n"/>
      <c r="Q151" s="410" t="n"/>
      <c r="R151" s="410" t="n"/>
      <c r="S151" s="410" t="n"/>
      <c r="T151" s="410" t="n"/>
      <c r="U151" s="410" t="n"/>
      <c r="V151" s="410" t="n"/>
      <c r="W151" s="410" t="n"/>
      <c r="X151" s="410" t="n"/>
      <c r="Y151" s="410" t="n"/>
    </row>
    <row r="152" ht="16.5" customHeight="1" s="408">
      <c r="A152" s="410" t="n"/>
      <c r="B152" s="410" t="n"/>
      <c r="C152" s="410" t="n"/>
      <c r="D152" s="410" t="n"/>
      <c r="E152" s="410" t="n"/>
      <c r="F152" s="410" t="n"/>
      <c r="G152" s="410" t="n"/>
      <c r="H152" s="410" t="n"/>
      <c r="I152" s="410" t="n"/>
      <c r="J152" s="410" t="n"/>
      <c r="K152" s="410" t="n"/>
      <c r="L152" s="410" t="n"/>
      <c r="M152" s="410" t="n"/>
      <c r="N152" s="410" t="n"/>
      <c r="O152" s="410" t="n"/>
      <c r="P152" s="410" t="n"/>
      <c r="Q152" s="410" t="n"/>
      <c r="R152" s="410" t="n"/>
      <c r="S152" s="410" t="n"/>
      <c r="T152" s="410" t="n"/>
      <c r="U152" s="410" t="n"/>
      <c r="V152" s="410" t="n"/>
      <c r="W152" s="410" t="n"/>
      <c r="X152" s="410" t="n"/>
      <c r="Y152" s="410" t="n"/>
    </row>
    <row r="153" ht="16.5" customHeight="1" s="408">
      <c r="A153" s="410" t="n"/>
      <c r="B153" s="410" t="n"/>
      <c r="C153" s="410" t="n"/>
      <c r="D153" s="410" t="n"/>
      <c r="E153" s="410" t="n"/>
      <c r="F153" s="410" t="n"/>
      <c r="G153" s="410" t="n"/>
      <c r="H153" s="410" t="n"/>
      <c r="I153" s="410" t="n"/>
      <c r="J153" s="410" t="n"/>
      <c r="K153" s="410" t="n"/>
      <c r="L153" s="410" t="n"/>
      <c r="M153" s="410" t="n"/>
      <c r="N153" s="410" t="n"/>
      <c r="O153" s="410" t="n"/>
      <c r="P153" s="410" t="n"/>
      <c r="Q153" s="410" t="n"/>
      <c r="R153" s="410" t="n"/>
      <c r="S153" s="410" t="n"/>
      <c r="T153" s="410" t="n"/>
      <c r="U153" s="410" t="n"/>
      <c r="V153" s="410" t="n"/>
      <c r="W153" s="410" t="n"/>
      <c r="X153" s="410" t="n"/>
      <c r="Y153" s="410" t="n"/>
    </row>
    <row r="154" ht="16.5" customHeight="1" s="408">
      <c r="A154" s="410" t="n"/>
      <c r="B154" s="410" t="n"/>
      <c r="C154" s="410" t="n"/>
      <c r="D154" s="410" t="n"/>
      <c r="E154" s="410" t="n"/>
      <c r="F154" s="410" t="n"/>
      <c r="G154" s="410" t="n"/>
      <c r="H154" s="410" t="n"/>
      <c r="I154" s="410" t="n"/>
      <c r="J154" s="410" t="n"/>
      <c r="K154" s="410" t="n"/>
      <c r="L154" s="410" t="n"/>
      <c r="M154" s="410" t="n"/>
      <c r="N154" s="410" t="n"/>
      <c r="O154" s="410" t="n"/>
      <c r="P154" s="410" t="n"/>
      <c r="Q154" s="410" t="n"/>
      <c r="R154" s="410" t="n"/>
      <c r="S154" s="410" t="n"/>
      <c r="T154" s="410" t="n"/>
      <c r="U154" s="410" t="n"/>
      <c r="V154" s="410" t="n"/>
      <c r="W154" s="410" t="n"/>
      <c r="X154" s="410" t="n"/>
      <c r="Y154" s="410" t="n"/>
    </row>
    <row r="155" ht="16.5" customHeight="1" s="408">
      <c r="A155" s="410" t="n"/>
      <c r="B155" s="410" t="n"/>
      <c r="C155" s="410" t="n"/>
      <c r="D155" s="410" t="n"/>
      <c r="E155" s="410" t="n"/>
      <c r="F155" s="410" t="n"/>
      <c r="G155" s="410" t="n"/>
      <c r="H155" s="410" t="n"/>
      <c r="I155" s="410" t="n"/>
      <c r="J155" s="410" t="n"/>
      <c r="K155" s="410" t="n"/>
      <c r="L155" s="410" t="n"/>
      <c r="M155" s="410" t="n"/>
      <c r="N155" s="410" t="n"/>
      <c r="O155" s="410" t="n"/>
      <c r="P155" s="410" t="n"/>
      <c r="Q155" s="410" t="n"/>
      <c r="R155" s="410" t="n"/>
      <c r="S155" s="410" t="n"/>
      <c r="T155" s="410" t="n"/>
      <c r="U155" s="410" t="n"/>
      <c r="V155" s="410" t="n"/>
      <c r="W155" s="410" t="n"/>
      <c r="X155" s="410" t="n"/>
      <c r="Y155" s="410" t="n"/>
    </row>
    <row r="156" ht="16.5" customHeight="1" s="408">
      <c r="A156" s="410" t="n"/>
      <c r="B156" s="410" t="n"/>
      <c r="C156" s="410" t="n"/>
      <c r="D156" s="410" t="n"/>
      <c r="E156" s="410" t="n"/>
      <c r="F156" s="410" t="n"/>
      <c r="G156" s="410" t="n"/>
      <c r="H156" s="410" t="n"/>
      <c r="I156" s="410" t="n"/>
      <c r="J156" s="410" t="n"/>
      <c r="K156" s="410" t="n"/>
      <c r="L156" s="410" t="n"/>
      <c r="M156" s="410" t="n"/>
      <c r="N156" s="410" t="n"/>
      <c r="O156" s="410" t="n"/>
      <c r="P156" s="410" t="n"/>
      <c r="Q156" s="410" t="n"/>
      <c r="R156" s="410" t="n"/>
      <c r="S156" s="410" t="n"/>
      <c r="T156" s="410" t="n"/>
      <c r="U156" s="410" t="n"/>
      <c r="V156" s="410" t="n"/>
      <c r="W156" s="410" t="n"/>
      <c r="X156" s="410" t="n"/>
      <c r="Y156" s="410" t="n"/>
    </row>
    <row r="157" ht="16.5" customHeight="1" s="408">
      <c r="A157" s="410" t="n"/>
      <c r="B157" s="410" t="n"/>
      <c r="C157" s="410" t="n"/>
      <c r="D157" s="410" t="n"/>
      <c r="E157" s="410" t="n"/>
      <c r="F157" s="410" t="n"/>
      <c r="G157" s="410" t="n"/>
      <c r="H157" s="410" t="n"/>
      <c r="I157" s="410" t="n"/>
      <c r="J157" s="410" t="n"/>
      <c r="K157" s="410" t="n"/>
      <c r="L157" s="410" t="n"/>
      <c r="M157" s="410" t="n"/>
      <c r="N157" s="410" t="n"/>
      <c r="O157" s="410" t="n"/>
      <c r="P157" s="410" t="n"/>
      <c r="Q157" s="410" t="n"/>
      <c r="R157" s="410" t="n"/>
      <c r="S157" s="410" t="n"/>
      <c r="T157" s="410" t="n"/>
      <c r="U157" s="410" t="n"/>
      <c r="V157" s="410" t="n"/>
      <c r="W157" s="410" t="n"/>
      <c r="X157" s="410" t="n"/>
      <c r="Y157" s="410" t="n"/>
    </row>
    <row r="158" ht="16.5" customHeight="1" s="408">
      <c r="A158" s="410" t="n"/>
      <c r="B158" s="410" t="n"/>
      <c r="C158" s="410" t="n"/>
      <c r="D158" s="410" t="n"/>
      <c r="E158" s="410" t="n"/>
      <c r="F158" s="410" t="n"/>
      <c r="G158" s="410" t="n"/>
      <c r="H158" s="410" t="n"/>
      <c r="I158" s="410" t="n"/>
      <c r="J158" s="410" t="n"/>
      <c r="K158" s="410" t="n"/>
      <c r="L158" s="410" t="n"/>
      <c r="M158" s="410" t="n"/>
      <c r="N158" s="410" t="n"/>
      <c r="O158" s="410" t="n"/>
      <c r="P158" s="410" t="n"/>
      <c r="Q158" s="410" t="n"/>
      <c r="R158" s="410" t="n"/>
      <c r="S158" s="410" t="n"/>
      <c r="T158" s="410" t="n"/>
      <c r="U158" s="410" t="n"/>
      <c r="V158" s="410" t="n"/>
      <c r="W158" s="410" t="n"/>
      <c r="X158" s="410" t="n"/>
      <c r="Y158" s="410" t="n"/>
    </row>
    <row r="159" ht="16.5" customHeight="1" s="408">
      <c r="A159" s="410" t="n"/>
      <c r="B159" s="410" t="n"/>
      <c r="C159" s="410" t="n"/>
      <c r="D159" s="410" t="n"/>
      <c r="E159" s="410" t="n"/>
      <c r="F159" s="410" t="n"/>
      <c r="G159" s="410" t="n"/>
      <c r="H159" s="410" t="n"/>
      <c r="I159" s="410" t="n"/>
      <c r="J159" s="410" t="n"/>
      <c r="K159" s="410" t="n"/>
      <c r="L159" s="410" t="n"/>
      <c r="M159" s="410" t="n"/>
      <c r="N159" s="410" t="n"/>
      <c r="O159" s="410" t="n"/>
      <c r="P159" s="410" t="n"/>
      <c r="Q159" s="410" t="n"/>
      <c r="R159" s="410" t="n"/>
      <c r="S159" s="410" t="n"/>
      <c r="T159" s="410" t="n"/>
      <c r="U159" s="410" t="n"/>
      <c r="V159" s="410" t="n"/>
      <c r="W159" s="410" t="n"/>
      <c r="X159" s="410" t="n"/>
      <c r="Y159" s="410" t="n"/>
    </row>
    <row r="160" ht="16.5" customHeight="1" s="408">
      <c r="A160" s="410" t="n"/>
      <c r="B160" s="410" t="n"/>
      <c r="C160" s="410" t="n"/>
      <c r="D160" s="410" t="n"/>
      <c r="E160" s="410" t="n"/>
      <c r="F160" s="410" t="n"/>
      <c r="G160" s="410" t="n"/>
      <c r="H160" s="410" t="n"/>
      <c r="I160" s="410" t="n"/>
      <c r="J160" s="410" t="n"/>
      <c r="K160" s="410" t="n"/>
      <c r="L160" s="410" t="n"/>
      <c r="M160" s="410" t="n"/>
      <c r="N160" s="410" t="n"/>
      <c r="O160" s="410" t="n"/>
      <c r="P160" s="410" t="n"/>
      <c r="Q160" s="410" t="n"/>
      <c r="R160" s="410" t="n"/>
      <c r="S160" s="410" t="n"/>
      <c r="T160" s="410" t="n"/>
      <c r="U160" s="410" t="n"/>
      <c r="V160" s="410" t="n"/>
      <c r="W160" s="410" t="n"/>
      <c r="X160" s="410" t="n"/>
      <c r="Y160" s="410" t="n"/>
    </row>
    <row r="161" ht="16.5" customHeight="1" s="408">
      <c r="A161" s="410" t="n"/>
      <c r="B161" s="410" t="n"/>
      <c r="C161" s="410" t="n"/>
      <c r="D161" s="410" t="n"/>
      <c r="E161" s="410" t="n"/>
      <c r="F161" s="410" t="n"/>
      <c r="G161" s="410" t="n"/>
      <c r="H161" s="410" t="n"/>
      <c r="I161" s="410" t="n"/>
      <c r="J161" s="410" t="n"/>
      <c r="K161" s="410" t="n"/>
      <c r="L161" s="410" t="n"/>
      <c r="M161" s="410" t="n"/>
      <c r="N161" s="410" t="n"/>
      <c r="O161" s="410" t="n"/>
      <c r="P161" s="410" t="n"/>
      <c r="Q161" s="410" t="n"/>
      <c r="R161" s="410" t="n"/>
      <c r="S161" s="410" t="n"/>
      <c r="T161" s="410" t="n"/>
      <c r="U161" s="410" t="n"/>
      <c r="V161" s="410" t="n"/>
      <c r="W161" s="410" t="n"/>
      <c r="X161" s="410" t="n"/>
      <c r="Y161" s="410" t="n"/>
    </row>
    <row r="162" ht="16.5" customHeight="1" s="408">
      <c r="A162" s="410" t="n"/>
      <c r="B162" s="410" t="n"/>
      <c r="C162" s="410" t="n"/>
      <c r="D162" s="410" t="n"/>
      <c r="E162" s="410" t="n"/>
      <c r="F162" s="410" t="n"/>
      <c r="G162" s="410" t="n"/>
      <c r="H162" s="410" t="n"/>
      <c r="I162" s="410" t="n"/>
      <c r="J162" s="410" t="n"/>
      <c r="K162" s="410" t="n"/>
      <c r="L162" s="410" t="n"/>
      <c r="M162" s="410" t="n"/>
      <c r="N162" s="410" t="n"/>
      <c r="O162" s="410" t="n"/>
      <c r="P162" s="410" t="n"/>
      <c r="Q162" s="410" t="n"/>
      <c r="R162" s="410" t="n"/>
      <c r="S162" s="410" t="n"/>
      <c r="T162" s="410" t="n"/>
      <c r="U162" s="410" t="n"/>
      <c r="V162" s="410" t="n"/>
      <c r="W162" s="410" t="n"/>
      <c r="X162" s="410" t="n"/>
      <c r="Y162" s="410" t="n"/>
    </row>
    <row r="163" ht="16.5" customHeight="1" s="408">
      <c r="A163" s="410" t="n"/>
      <c r="B163" s="410" t="n"/>
      <c r="C163" s="410" t="n"/>
      <c r="D163" s="410" t="n"/>
      <c r="E163" s="410" t="n"/>
      <c r="F163" s="410" t="n"/>
      <c r="G163" s="410" t="n"/>
      <c r="H163" s="410" t="n"/>
      <c r="I163" s="410" t="n"/>
      <c r="J163" s="410" t="n"/>
      <c r="K163" s="410" t="n"/>
      <c r="L163" s="410" t="n"/>
      <c r="M163" s="410" t="n"/>
      <c r="N163" s="410" t="n"/>
      <c r="O163" s="410" t="n"/>
      <c r="P163" s="410" t="n"/>
      <c r="Q163" s="410" t="n"/>
      <c r="R163" s="410" t="n"/>
      <c r="S163" s="410" t="n"/>
      <c r="T163" s="410" t="n"/>
      <c r="U163" s="410" t="n"/>
      <c r="V163" s="410" t="n"/>
      <c r="W163" s="410" t="n"/>
      <c r="X163" s="410" t="n"/>
      <c r="Y163" s="410" t="n"/>
    </row>
    <row r="164" ht="16.5" customHeight="1" s="408">
      <c r="A164" s="410" t="n"/>
      <c r="B164" s="410" t="n"/>
      <c r="C164" s="410" t="n"/>
      <c r="D164" s="410" t="n"/>
      <c r="E164" s="410" t="n"/>
      <c r="F164" s="410" t="n"/>
      <c r="G164" s="410" t="n"/>
      <c r="H164" s="410" t="n"/>
      <c r="I164" s="410" t="n"/>
      <c r="J164" s="410" t="n"/>
      <c r="K164" s="410" t="n"/>
      <c r="L164" s="410" t="n"/>
      <c r="M164" s="410" t="n"/>
      <c r="N164" s="410" t="n"/>
      <c r="O164" s="410" t="n"/>
      <c r="P164" s="410" t="n"/>
      <c r="Q164" s="410" t="n"/>
      <c r="R164" s="410" t="n"/>
      <c r="S164" s="410" t="n"/>
      <c r="T164" s="410" t="n"/>
      <c r="U164" s="410" t="n"/>
      <c r="V164" s="410" t="n"/>
      <c r="W164" s="410" t="n"/>
      <c r="X164" s="410" t="n"/>
      <c r="Y164" s="410" t="n"/>
    </row>
    <row r="165" ht="16.5" customHeight="1" s="408">
      <c r="A165" s="410" t="n"/>
      <c r="B165" s="410" t="n"/>
      <c r="C165" s="410" t="n"/>
      <c r="D165" s="410" t="n"/>
      <c r="E165" s="410" t="n"/>
      <c r="F165" s="410" t="n"/>
      <c r="G165" s="410" t="n"/>
      <c r="H165" s="410" t="n"/>
      <c r="I165" s="410" t="n"/>
      <c r="J165" s="410" t="n"/>
      <c r="K165" s="410" t="n"/>
      <c r="L165" s="410" t="n"/>
      <c r="M165" s="410" t="n"/>
      <c r="N165" s="410" t="n"/>
      <c r="O165" s="410" t="n"/>
      <c r="P165" s="410" t="n"/>
      <c r="Q165" s="410" t="n"/>
      <c r="R165" s="410" t="n"/>
      <c r="S165" s="410" t="n"/>
      <c r="T165" s="410" t="n"/>
      <c r="U165" s="410" t="n"/>
      <c r="V165" s="410" t="n"/>
      <c r="W165" s="410" t="n"/>
      <c r="X165" s="410" t="n"/>
      <c r="Y165" s="410" t="n"/>
    </row>
    <row r="166" ht="16.5" customHeight="1" s="408">
      <c r="A166" s="410" t="n"/>
      <c r="B166" s="410" t="n"/>
      <c r="C166" s="410" t="n"/>
      <c r="D166" s="410" t="n"/>
      <c r="E166" s="410" t="n"/>
      <c r="F166" s="410" t="n"/>
      <c r="G166" s="410" t="n"/>
      <c r="H166" s="410" t="n"/>
      <c r="I166" s="410" t="n"/>
      <c r="J166" s="410" t="n"/>
      <c r="K166" s="410" t="n"/>
      <c r="L166" s="410" t="n"/>
      <c r="M166" s="410" t="n"/>
      <c r="N166" s="410" t="n"/>
      <c r="O166" s="410" t="n"/>
      <c r="P166" s="410" t="n"/>
      <c r="Q166" s="410" t="n"/>
      <c r="R166" s="410" t="n"/>
      <c r="S166" s="410" t="n"/>
      <c r="T166" s="410" t="n"/>
      <c r="U166" s="410" t="n"/>
      <c r="V166" s="410" t="n"/>
      <c r="W166" s="410" t="n"/>
      <c r="X166" s="410" t="n"/>
      <c r="Y166" s="410" t="n"/>
    </row>
    <row r="167" ht="16.5" customHeight="1" s="408">
      <c r="A167" s="410" t="n"/>
      <c r="B167" s="410" t="n"/>
      <c r="C167" s="410" t="n"/>
      <c r="D167" s="410" t="n"/>
      <c r="E167" s="410" t="n"/>
      <c r="F167" s="410" t="n"/>
      <c r="G167" s="410" t="n"/>
      <c r="H167" s="410" t="n"/>
      <c r="I167" s="410" t="n"/>
      <c r="J167" s="410" t="n"/>
      <c r="K167" s="410" t="n"/>
      <c r="L167" s="410" t="n"/>
      <c r="M167" s="410" t="n"/>
      <c r="N167" s="410" t="n"/>
      <c r="O167" s="410" t="n"/>
      <c r="P167" s="410" t="n"/>
      <c r="Q167" s="410" t="n"/>
      <c r="R167" s="410" t="n"/>
      <c r="S167" s="410" t="n"/>
      <c r="T167" s="410" t="n"/>
      <c r="U167" s="410" t="n"/>
      <c r="V167" s="410" t="n"/>
      <c r="W167" s="410" t="n"/>
      <c r="X167" s="410" t="n"/>
      <c r="Y167" s="410" t="n"/>
    </row>
    <row r="168" ht="16.5" customHeight="1" s="408">
      <c r="A168" s="410" t="n"/>
      <c r="B168" s="410" t="n"/>
      <c r="C168" s="410" t="n"/>
      <c r="D168" s="410" t="n"/>
      <c r="E168" s="410" t="n"/>
      <c r="F168" s="410" t="n"/>
      <c r="G168" s="410" t="n"/>
      <c r="H168" s="410" t="n"/>
      <c r="I168" s="410" t="n"/>
      <c r="J168" s="410" t="n"/>
      <c r="K168" s="410" t="n"/>
      <c r="L168" s="410" t="n"/>
      <c r="M168" s="410" t="n"/>
      <c r="N168" s="410" t="n"/>
      <c r="O168" s="410" t="n"/>
      <c r="P168" s="410" t="n"/>
      <c r="Q168" s="410" t="n"/>
      <c r="R168" s="410" t="n"/>
      <c r="S168" s="410" t="n"/>
      <c r="T168" s="410" t="n"/>
      <c r="U168" s="410" t="n"/>
      <c r="V168" s="410" t="n"/>
      <c r="W168" s="410" t="n"/>
      <c r="X168" s="410" t="n"/>
      <c r="Y168" s="410" t="n"/>
    </row>
    <row r="169" ht="16.5" customHeight="1" s="408">
      <c r="A169" s="410" t="n"/>
      <c r="B169" s="410" t="n"/>
      <c r="C169" s="410" t="n"/>
      <c r="D169" s="410" t="n"/>
      <c r="E169" s="410" t="n"/>
      <c r="F169" s="410" t="n"/>
      <c r="G169" s="410" t="n"/>
      <c r="H169" s="410" t="n"/>
      <c r="I169" s="410" t="n"/>
      <c r="J169" s="410" t="n"/>
      <c r="K169" s="410" t="n"/>
      <c r="L169" s="410" t="n"/>
      <c r="M169" s="410" t="n"/>
      <c r="N169" s="410" t="n"/>
      <c r="O169" s="410" t="n"/>
      <c r="P169" s="410" t="n"/>
      <c r="Q169" s="410" t="n"/>
      <c r="R169" s="410" t="n"/>
      <c r="S169" s="410" t="n"/>
      <c r="T169" s="410" t="n"/>
      <c r="U169" s="410" t="n"/>
      <c r="V169" s="410" t="n"/>
      <c r="W169" s="410" t="n"/>
      <c r="X169" s="410" t="n"/>
      <c r="Y169" s="410" t="n"/>
    </row>
    <row r="170" ht="16.5" customHeight="1" s="408">
      <c r="A170" s="410" t="n"/>
      <c r="B170" s="410" t="n"/>
      <c r="C170" s="410" t="n"/>
      <c r="D170" s="410" t="n"/>
      <c r="E170" s="410" t="n"/>
      <c r="F170" s="410" t="n"/>
      <c r="G170" s="410" t="n"/>
      <c r="H170" s="410" t="n"/>
      <c r="I170" s="410" t="n"/>
      <c r="J170" s="410" t="n"/>
      <c r="K170" s="410" t="n"/>
      <c r="L170" s="410" t="n"/>
      <c r="M170" s="410" t="n"/>
      <c r="N170" s="410" t="n"/>
      <c r="O170" s="410" t="n"/>
      <c r="P170" s="410" t="n"/>
      <c r="Q170" s="410" t="n"/>
      <c r="R170" s="410" t="n"/>
      <c r="S170" s="410" t="n"/>
      <c r="T170" s="410" t="n"/>
      <c r="U170" s="410" t="n"/>
      <c r="V170" s="410" t="n"/>
      <c r="W170" s="410" t="n"/>
      <c r="X170" s="410" t="n"/>
      <c r="Y170" s="410" t="n"/>
    </row>
    <row r="171" ht="16.5" customHeight="1" s="408">
      <c r="A171" s="410" t="n"/>
      <c r="B171" s="410" t="n"/>
      <c r="C171" s="410" t="n"/>
      <c r="D171" s="410" t="n"/>
      <c r="E171" s="410" t="n"/>
      <c r="F171" s="410" t="n"/>
      <c r="G171" s="410" t="n"/>
      <c r="H171" s="410" t="n"/>
      <c r="I171" s="410" t="n"/>
      <c r="J171" s="410" t="n"/>
      <c r="K171" s="410" t="n"/>
      <c r="L171" s="410" t="n"/>
      <c r="M171" s="410" t="n"/>
      <c r="N171" s="410" t="n"/>
      <c r="O171" s="410" t="n"/>
      <c r="P171" s="410" t="n"/>
      <c r="Q171" s="410" t="n"/>
      <c r="R171" s="410" t="n"/>
      <c r="S171" s="410" t="n"/>
      <c r="T171" s="410" t="n"/>
      <c r="U171" s="410" t="n"/>
      <c r="V171" s="410" t="n"/>
      <c r="W171" s="410" t="n"/>
      <c r="X171" s="410" t="n"/>
      <c r="Y171" s="410" t="n"/>
    </row>
    <row r="172" ht="16.5" customHeight="1" s="408">
      <c r="A172" s="410" t="n"/>
      <c r="B172" s="410" t="n"/>
      <c r="C172" s="410" t="n"/>
      <c r="D172" s="410" t="n"/>
      <c r="E172" s="410" t="n"/>
      <c r="F172" s="410" t="n"/>
      <c r="G172" s="410" t="n"/>
      <c r="H172" s="410" t="n"/>
      <c r="I172" s="410" t="n"/>
      <c r="J172" s="410" t="n"/>
      <c r="K172" s="410" t="n"/>
      <c r="L172" s="410" t="n"/>
      <c r="M172" s="410" t="n"/>
      <c r="N172" s="410" t="n"/>
      <c r="O172" s="410" t="n"/>
      <c r="P172" s="410" t="n"/>
      <c r="Q172" s="410" t="n"/>
      <c r="R172" s="410" t="n"/>
      <c r="S172" s="410" t="n"/>
      <c r="T172" s="410" t="n"/>
      <c r="U172" s="410" t="n"/>
      <c r="V172" s="410" t="n"/>
      <c r="W172" s="410" t="n"/>
      <c r="X172" s="410" t="n"/>
      <c r="Y172" s="410" t="n"/>
    </row>
    <row r="173" ht="16.5" customHeight="1" s="408">
      <c r="A173" s="410" t="n"/>
      <c r="B173" s="410" t="n"/>
      <c r="C173" s="410" t="n"/>
      <c r="D173" s="410" t="n"/>
      <c r="E173" s="410" t="n"/>
      <c r="F173" s="410" t="n"/>
      <c r="G173" s="410" t="n"/>
      <c r="H173" s="410" t="n"/>
      <c r="I173" s="410" t="n"/>
      <c r="J173" s="410" t="n"/>
      <c r="K173" s="410" t="n"/>
      <c r="L173" s="410" t="n"/>
      <c r="M173" s="410" t="n"/>
      <c r="N173" s="410" t="n"/>
      <c r="O173" s="410" t="n"/>
      <c r="P173" s="410" t="n"/>
      <c r="Q173" s="410" t="n"/>
      <c r="R173" s="410" t="n"/>
      <c r="S173" s="410" t="n"/>
      <c r="T173" s="410" t="n"/>
      <c r="U173" s="410" t="n"/>
      <c r="V173" s="410" t="n"/>
      <c r="W173" s="410" t="n"/>
      <c r="X173" s="410" t="n"/>
      <c r="Y173" s="410" t="n"/>
    </row>
    <row r="174" ht="16.5" customHeight="1" s="408">
      <c r="A174" s="410" t="n"/>
      <c r="B174" s="410" t="n"/>
      <c r="C174" s="410" t="n"/>
      <c r="D174" s="410" t="n"/>
      <c r="E174" s="410" t="n"/>
      <c r="F174" s="410" t="n"/>
      <c r="G174" s="410" t="n"/>
      <c r="H174" s="410" t="n"/>
      <c r="I174" s="410" t="n"/>
      <c r="J174" s="410" t="n"/>
      <c r="K174" s="410" t="n"/>
      <c r="L174" s="410" t="n"/>
      <c r="M174" s="410" t="n"/>
      <c r="N174" s="410" t="n"/>
      <c r="O174" s="410" t="n"/>
      <c r="P174" s="410" t="n"/>
      <c r="Q174" s="410" t="n"/>
      <c r="R174" s="410" t="n"/>
      <c r="S174" s="410" t="n"/>
      <c r="T174" s="410" t="n"/>
      <c r="U174" s="410" t="n"/>
      <c r="V174" s="410" t="n"/>
      <c r="W174" s="410" t="n"/>
      <c r="X174" s="410" t="n"/>
      <c r="Y174" s="410" t="n"/>
    </row>
    <row r="175" ht="16.5" customHeight="1" s="408">
      <c r="A175" s="410" t="n"/>
      <c r="B175" s="410" t="n"/>
      <c r="C175" s="410" t="n"/>
      <c r="D175" s="410" t="n"/>
      <c r="E175" s="410" t="n"/>
      <c r="F175" s="410" t="n"/>
      <c r="G175" s="410" t="n"/>
      <c r="H175" s="410" t="n"/>
      <c r="I175" s="410" t="n"/>
      <c r="J175" s="410" t="n"/>
      <c r="K175" s="410" t="n"/>
      <c r="L175" s="410" t="n"/>
      <c r="M175" s="410" t="n"/>
      <c r="N175" s="410" t="n"/>
      <c r="O175" s="410" t="n"/>
      <c r="P175" s="410" t="n"/>
      <c r="Q175" s="410" t="n"/>
      <c r="R175" s="410" t="n"/>
      <c r="S175" s="410" t="n"/>
      <c r="T175" s="410" t="n"/>
      <c r="U175" s="410" t="n"/>
      <c r="V175" s="410" t="n"/>
      <c r="W175" s="410" t="n"/>
      <c r="X175" s="410" t="n"/>
      <c r="Y175" s="410" t="n"/>
    </row>
    <row r="176" ht="16.5" customHeight="1" s="408">
      <c r="A176" s="410" t="n"/>
      <c r="B176" s="410" t="n"/>
      <c r="C176" s="410" t="n"/>
      <c r="D176" s="410" t="n"/>
      <c r="E176" s="410" t="n"/>
      <c r="F176" s="410" t="n"/>
      <c r="G176" s="410" t="n"/>
      <c r="H176" s="410" t="n"/>
      <c r="I176" s="410" t="n"/>
      <c r="J176" s="410" t="n"/>
      <c r="K176" s="410" t="n"/>
      <c r="L176" s="410" t="n"/>
      <c r="M176" s="410" t="n"/>
      <c r="N176" s="410" t="n"/>
      <c r="O176" s="410" t="n"/>
      <c r="P176" s="410" t="n"/>
      <c r="Q176" s="410" t="n"/>
      <c r="R176" s="410" t="n"/>
      <c r="S176" s="410" t="n"/>
      <c r="T176" s="410" t="n"/>
      <c r="U176" s="410" t="n"/>
      <c r="V176" s="410" t="n"/>
      <c r="W176" s="410" t="n"/>
      <c r="X176" s="410" t="n"/>
      <c r="Y176" s="410" t="n"/>
    </row>
    <row r="177" ht="16.5" customHeight="1" s="408">
      <c r="A177" s="410" t="n"/>
      <c r="B177" s="410" t="n"/>
      <c r="C177" s="410" t="n"/>
      <c r="D177" s="410" t="n"/>
      <c r="E177" s="410" t="n"/>
      <c r="F177" s="410" t="n"/>
      <c r="G177" s="410" t="n"/>
      <c r="H177" s="410" t="n"/>
      <c r="I177" s="410" t="n"/>
      <c r="J177" s="410" t="n"/>
      <c r="K177" s="410" t="n"/>
      <c r="L177" s="410" t="n"/>
      <c r="M177" s="410" t="n"/>
      <c r="N177" s="410" t="n"/>
      <c r="O177" s="410" t="n"/>
      <c r="P177" s="410" t="n"/>
      <c r="Q177" s="410" t="n"/>
      <c r="R177" s="410" t="n"/>
      <c r="S177" s="410" t="n"/>
      <c r="T177" s="410" t="n"/>
      <c r="U177" s="410" t="n"/>
      <c r="V177" s="410" t="n"/>
      <c r="W177" s="410" t="n"/>
      <c r="X177" s="410" t="n"/>
      <c r="Y177" s="410" t="n"/>
    </row>
    <row r="178" ht="16.5" customHeight="1" s="408">
      <c r="A178" s="410" t="n"/>
      <c r="B178" s="410" t="n"/>
      <c r="C178" s="410" t="n"/>
      <c r="D178" s="410" t="n"/>
      <c r="E178" s="410" t="n"/>
      <c r="F178" s="410" t="n"/>
      <c r="G178" s="410" t="n"/>
      <c r="H178" s="410" t="n"/>
      <c r="I178" s="410" t="n"/>
      <c r="J178" s="410" t="n"/>
      <c r="K178" s="410" t="n"/>
      <c r="L178" s="410" t="n"/>
      <c r="M178" s="410" t="n"/>
      <c r="N178" s="410" t="n"/>
      <c r="O178" s="410" t="n"/>
      <c r="P178" s="410" t="n"/>
      <c r="Q178" s="410" t="n"/>
      <c r="R178" s="410" t="n"/>
      <c r="S178" s="410" t="n"/>
      <c r="T178" s="410" t="n"/>
      <c r="U178" s="410" t="n"/>
      <c r="V178" s="410" t="n"/>
      <c r="W178" s="410" t="n"/>
      <c r="X178" s="410" t="n"/>
      <c r="Y178" s="410" t="n"/>
    </row>
    <row r="179" ht="16.5" customHeight="1" s="408">
      <c r="A179" s="410" t="n"/>
      <c r="B179" s="410" t="n"/>
      <c r="C179" s="410" t="n"/>
      <c r="D179" s="410" t="n"/>
      <c r="E179" s="410" t="n"/>
      <c r="F179" s="410" t="n"/>
      <c r="G179" s="410" t="n"/>
      <c r="H179" s="410" t="n"/>
      <c r="I179" s="410" t="n"/>
      <c r="J179" s="410" t="n"/>
      <c r="K179" s="410" t="n"/>
      <c r="L179" s="410" t="n"/>
      <c r="M179" s="410" t="n"/>
      <c r="N179" s="410" t="n"/>
      <c r="O179" s="410" t="n"/>
      <c r="P179" s="410" t="n"/>
      <c r="Q179" s="410" t="n"/>
      <c r="R179" s="410" t="n"/>
      <c r="S179" s="410" t="n"/>
      <c r="T179" s="410" t="n"/>
      <c r="U179" s="410" t="n"/>
      <c r="V179" s="410" t="n"/>
      <c r="W179" s="410" t="n"/>
      <c r="X179" s="410" t="n"/>
      <c r="Y179" s="410" t="n"/>
    </row>
    <row r="180" ht="16.5" customHeight="1" s="408">
      <c r="A180" s="410" t="n"/>
      <c r="B180" s="410" t="n"/>
      <c r="C180" s="410" t="n"/>
      <c r="D180" s="410" t="n"/>
      <c r="E180" s="410" t="n"/>
      <c r="F180" s="410" t="n"/>
      <c r="G180" s="410" t="n"/>
      <c r="H180" s="410" t="n"/>
      <c r="I180" s="410" t="n"/>
      <c r="J180" s="410" t="n"/>
      <c r="K180" s="410" t="n"/>
      <c r="L180" s="410" t="n"/>
      <c r="M180" s="410" t="n"/>
      <c r="N180" s="410" t="n"/>
      <c r="O180" s="410" t="n"/>
      <c r="P180" s="410" t="n"/>
      <c r="Q180" s="410" t="n"/>
      <c r="R180" s="410" t="n"/>
      <c r="S180" s="410" t="n"/>
      <c r="T180" s="410" t="n"/>
      <c r="U180" s="410" t="n"/>
      <c r="V180" s="410" t="n"/>
      <c r="W180" s="410" t="n"/>
      <c r="X180" s="410" t="n"/>
      <c r="Y180" s="410" t="n"/>
    </row>
    <row r="181" ht="16.5" customHeight="1" s="408">
      <c r="A181" s="410" t="n"/>
      <c r="B181" s="410" t="n"/>
      <c r="C181" s="410" t="n"/>
      <c r="D181" s="410" t="n"/>
      <c r="E181" s="410" t="n"/>
      <c r="F181" s="410" t="n"/>
      <c r="G181" s="410" t="n"/>
      <c r="H181" s="410" t="n"/>
      <c r="I181" s="410" t="n"/>
      <c r="J181" s="410" t="n"/>
      <c r="K181" s="410" t="n"/>
      <c r="L181" s="410" t="n"/>
      <c r="M181" s="410" t="n"/>
      <c r="N181" s="410" t="n"/>
      <c r="O181" s="410" t="n"/>
      <c r="P181" s="410" t="n"/>
      <c r="Q181" s="410" t="n"/>
      <c r="R181" s="410" t="n"/>
      <c r="S181" s="410" t="n"/>
      <c r="T181" s="410" t="n"/>
      <c r="U181" s="410" t="n"/>
      <c r="V181" s="410" t="n"/>
      <c r="W181" s="410" t="n"/>
      <c r="X181" s="410" t="n"/>
      <c r="Y181" s="410" t="n"/>
    </row>
    <row r="182" ht="16.5" customHeight="1" s="408">
      <c r="A182" s="410" t="n"/>
      <c r="B182" s="410" t="n"/>
      <c r="C182" s="410" t="n"/>
      <c r="D182" s="410" t="n"/>
      <c r="E182" s="410" t="n"/>
      <c r="F182" s="410" t="n"/>
      <c r="G182" s="410" t="n"/>
      <c r="H182" s="410" t="n"/>
      <c r="I182" s="410" t="n"/>
      <c r="J182" s="410" t="n"/>
      <c r="K182" s="410" t="n"/>
      <c r="L182" s="410" t="n"/>
      <c r="M182" s="410" t="n"/>
      <c r="N182" s="410" t="n"/>
      <c r="O182" s="410" t="n"/>
      <c r="P182" s="410" t="n"/>
      <c r="Q182" s="410" t="n"/>
      <c r="R182" s="410" t="n"/>
      <c r="S182" s="410" t="n"/>
      <c r="T182" s="410" t="n"/>
      <c r="U182" s="410" t="n"/>
      <c r="V182" s="410" t="n"/>
      <c r="W182" s="410" t="n"/>
      <c r="X182" s="410" t="n"/>
      <c r="Y182" s="410" t="n"/>
    </row>
    <row r="183" ht="16.5" customHeight="1" s="408">
      <c r="A183" s="410" t="n"/>
      <c r="B183" s="410" t="n"/>
      <c r="C183" s="410" t="n"/>
      <c r="D183" s="410" t="n"/>
      <c r="E183" s="410" t="n"/>
      <c r="F183" s="410" t="n"/>
      <c r="G183" s="410" t="n"/>
      <c r="H183" s="410" t="n"/>
      <c r="I183" s="410" t="n"/>
      <c r="J183" s="410" t="n"/>
      <c r="K183" s="410" t="n"/>
      <c r="L183" s="410" t="n"/>
      <c r="M183" s="410" t="n"/>
      <c r="N183" s="410" t="n"/>
      <c r="O183" s="410" t="n"/>
      <c r="P183" s="410" t="n"/>
      <c r="Q183" s="410" t="n"/>
      <c r="R183" s="410" t="n"/>
      <c r="S183" s="410" t="n"/>
      <c r="T183" s="410" t="n"/>
      <c r="U183" s="410" t="n"/>
      <c r="V183" s="410" t="n"/>
      <c r="W183" s="410" t="n"/>
      <c r="X183" s="410" t="n"/>
      <c r="Y183" s="410" t="n"/>
    </row>
    <row r="184" ht="16.5" customHeight="1" s="408">
      <c r="A184" s="410" t="n"/>
      <c r="B184" s="410" t="n"/>
      <c r="C184" s="410" t="n"/>
      <c r="D184" s="410" t="n"/>
      <c r="E184" s="410" t="n"/>
      <c r="F184" s="410" t="n"/>
      <c r="G184" s="410" t="n"/>
      <c r="H184" s="410" t="n"/>
      <c r="I184" s="410" t="n"/>
      <c r="J184" s="410" t="n"/>
      <c r="K184" s="410" t="n"/>
      <c r="L184" s="410" t="n"/>
      <c r="M184" s="410" t="n"/>
      <c r="N184" s="410" t="n"/>
      <c r="O184" s="410" t="n"/>
      <c r="P184" s="410" t="n"/>
      <c r="Q184" s="410" t="n"/>
      <c r="R184" s="410" t="n"/>
      <c r="S184" s="410" t="n"/>
      <c r="T184" s="410" t="n"/>
      <c r="U184" s="410" t="n"/>
      <c r="V184" s="410" t="n"/>
      <c r="W184" s="410" t="n"/>
      <c r="X184" s="410" t="n"/>
      <c r="Y184" s="410" t="n"/>
    </row>
    <row r="185" ht="16.5" customHeight="1" s="408">
      <c r="A185" s="410" t="n"/>
      <c r="B185" s="410" t="n"/>
      <c r="C185" s="410" t="n"/>
      <c r="D185" s="410" t="n"/>
      <c r="E185" s="410" t="n"/>
      <c r="F185" s="410" t="n"/>
      <c r="G185" s="410" t="n"/>
      <c r="H185" s="410" t="n"/>
      <c r="I185" s="410" t="n"/>
      <c r="J185" s="410" t="n"/>
      <c r="K185" s="410" t="n"/>
      <c r="L185" s="410" t="n"/>
      <c r="M185" s="410" t="n"/>
      <c r="N185" s="410" t="n"/>
      <c r="O185" s="410" t="n"/>
      <c r="P185" s="410" t="n"/>
      <c r="Q185" s="410" t="n"/>
      <c r="R185" s="410" t="n"/>
      <c r="S185" s="410" t="n"/>
      <c r="T185" s="410" t="n"/>
      <c r="U185" s="410" t="n"/>
      <c r="V185" s="410" t="n"/>
      <c r="W185" s="410" t="n"/>
      <c r="X185" s="410" t="n"/>
      <c r="Y185" s="410" t="n"/>
    </row>
    <row r="186" ht="16.5" customHeight="1" s="408">
      <c r="A186" s="410" t="n"/>
      <c r="B186" s="410" t="n"/>
      <c r="C186" s="410" t="n"/>
      <c r="D186" s="410" t="n"/>
      <c r="E186" s="410" t="n"/>
      <c r="F186" s="410" t="n"/>
      <c r="G186" s="410" t="n"/>
      <c r="H186" s="410" t="n"/>
      <c r="I186" s="410" t="n"/>
      <c r="J186" s="410" t="n"/>
      <c r="K186" s="410" t="n"/>
      <c r="L186" s="410" t="n"/>
      <c r="M186" s="410" t="n"/>
      <c r="N186" s="410" t="n"/>
      <c r="O186" s="410" t="n"/>
      <c r="P186" s="410" t="n"/>
      <c r="Q186" s="410" t="n"/>
      <c r="R186" s="410" t="n"/>
      <c r="S186" s="410" t="n"/>
      <c r="T186" s="410" t="n"/>
      <c r="U186" s="410" t="n"/>
      <c r="V186" s="410" t="n"/>
      <c r="W186" s="410" t="n"/>
      <c r="X186" s="410" t="n"/>
      <c r="Y186" s="410" t="n"/>
    </row>
    <row r="187" ht="16.5" customHeight="1" s="408">
      <c r="A187" s="410" t="n"/>
      <c r="B187" s="410" t="n"/>
      <c r="C187" s="410" t="n"/>
      <c r="D187" s="410" t="n"/>
      <c r="E187" s="410" t="n"/>
      <c r="F187" s="410" t="n"/>
      <c r="G187" s="410" t="n"/>
      <c r="H187" s="410" t="n"/>
      <c r="I187" s="410" t="n"/>
      <c r="J187" s="410" t="n"/>
      <c r="K187" s="410" t="n"/>
      <c r="L187" s="410" t="n"/>
      <c r="M187" s="410" t="n"/>
      <c r="N187" s="410" t="n"/>
      <c r="O187" s="410" t="n"/>
      <c r="P187" s="410" t="n"/>
      <c r="Q187" s="410" t="n"/>
      <c r="R187" s="410" t="n"/>
      <c r="S187" s="410" t="n"/>
      <c r="T187" s="410" t="n"/>
      <c r="U187" s="410" t="n"/>
      <c r="V187" s="410" t="n"/>
      <c r="W187" s="410" t="n"/>
      <c r="X187" s="410" t="n"/>
      <c r="Y187" s="410" t="n"/>
    </row>
    <row r="188" ht="16.5" customHeight="1" s="408">
      <c r="A188" s="410" t="n"/>
      <c r="B188" s="410" t="n"/>
      <c r="C188" s="410" t="n"/>
      <c r="D188" s="410" t="n"/>
      <c r="E188" s="410" t="n"/>
      <c r="F188" s="410" t="n"/>
      <c r="G188" s="410" t="n"/>
      <c r="H188" s="410" t="n"/>
      <c r="I188" s="410" t="n"/>
      <c r="J188" s="410" t="n"/>
      <c r="K188" s="410" t="n"/>
      <c r="L188" s="410" t="n"/>
      <c r="M188" s="410" t="n"/>
      <c r="N188" s="410" t="n"/>
      <c r="O188" s="410" t="n"/>
      <c r="P188" s="410" t="n"/>
      <c r="Q188" s="410" t="n"/>
      <c r="R188" s="410" t="n"/>
      <c r="S188" s="410" t="n"/>
      <c r="T188" s="410" t="n"/>
      <c r="U188" s="410" t="n"/>
      <c r="V188" s="410" t="n"/>
      <c r="W188" s="410" t="n"/>
      <c r="X188" s="410" t="n"/>
      <c r="Y188" s="410" t="n"/>
    </row>
    <row r="189" ht="16.5" customHeight="1" s="408">
      <c r="A189" s="410" t="n"/>
      <c r="B189" s="410" t="n"/>
      <c r="C189" s="410" t="n"/>
      <c r="D189" s="410" t="n"/>
      <c r="E189" s="410" t="n"/>
      <c r="F189" s="410" t="n"/>
      <c r="G189" s="410" t="n"/>
      <c r="H189" s="410" t="n"/>
      <c r="I189" s="410" t="n"/>
      <c r="J189" s="410" t="n"/>
      <c r="K189" s="410" t="n"/>
      <c r="L189" s="410" t="n"/>
      <c r="M189" s="410" t="n"/>
      <c r="N189" s="410" t="n"/>
      <c r="O189" s="410" t="n"/>
      <c r="P189" s="410" t="n"/>
      <c r="Q189" s="410" t="n"/>
      <c r="R189" s="410" t="n"/>
      <c r="S189" s="410" t="n"/>
      <c r="T189" s="410" t="n"/>
      <c r="U189" s="410" t="n"/>
      <c r="V189" s="410" t="n"/>
      <c r="W189" s="410" t="n"/>
      <c r="X189" s="410" t="n"/>
      <c r="Y189" s="410" t="n"/>
    </row>
    <row r="190" ht="16.5" customHeight="1" s="408">
      <c r="A190" s="410" t="n"/>
      <c r="B190" s="410" t="n"/>
      <c r="C190" s="410" t="n"/>
      <c r="D190" s="410" t="n"/>
      <c r="E190" s="410" t="n"/>
      <c r="F190" s="410" t="n"/>
      <c r="G190" s="410" t="n"/>
      <c r="H190" s="410" t="n"/>
      <c r="I190" s="410" t="n"/>
      <c r="J190" s="410" t="n"/>
      <c r="K190" s="410" t="n"/>
      <c r="L190" s="410" t="n"/>
      <c r="M190" s="410" t="n"/>
      <c r="N190" s="410" t="n"/>
      <c r="O190" s="410" t="n"/>
      <c r="P190" s="410" t="n"/>
      <c r="Q190" s="410" t="n"/>
      <c r="R190" s="410" t="n"/>
      <c r="S190" s="410" t="n"/>
      <c r="T190" s="410" t="n"/>
      <c r="U190" s="410" t="n"/>
      <c r="V190" s="410" t="n"/>
      <c r="W190" s="410" t="n"/>
      <c r="X190" s="410" t="n"/>
      <c r="Y190" s="410" t="n"/>
    </row>
    <row r="191" ht="16.5" customHeight="1" s="408">
      <c r="A191" s="410" t="n"/>
      <c r="B191" s="410" t="n"/>
      <c r="C191" s="410" t="n"/>
      <c r="D191" s="410" t="n"/>
      <c r="E191" s="410" t="n"/>
      <c r="F191" s="410" t="n"/>
      <c r="G191" s="410" t="n"/>
      <c r="H191" s="410" t="n"/>
      <c r="I191" s="410" t="n"/>
      <c r="J191" s="410" t="n"/>
      <c r="K191" s="410" t="n"/>
      <c r="L191" s="410" t="n"/>
      <c r="M191" s="410" t="n"/>
      <c r="N191" s="410" t="n"/>
      <c r="O191" s="410" t="n"/>
      <c r="P191" s="410" t="n"/>
      <c r="Q191" s="410" t="n"/>
      <c r="R191" s="410" t="n"/>
      <c r="S191" s="410" t="n"/>
      <c r="T191" s="410" t="n"/>
      <c r="U191" s="410" t="n"/>
      <c r="V191" s="410" t="n"/>
      <c r="W191" s="410" t="n"/>
      <c r="X191" s="410" t="n"/>
      <c r="Y191" s="410" t="n"/>
    </row>
    <row r="192" ht="16.5" customHeight="1" s="408">
      <c r="A192" s="410" t="n"/>
      <c r="B192" s="410" t="n"/>
      <c r="C192" s="410" t="n"/>
      <c r="D192" s="410" t="n"/>
      <c r="E192" s="410" t="n"/>
      <c r="F192" s="410" t="n"/>
      <c r="G192" s="410" t="n"/>
      <c r="H192" s="410" t="n"/>
      <c r="I192" s="410" t="n"/>
      <c r="J192" s="410" t="n"/>
      <c r="K192" s="410" t="n"/>
      <c r="L192" s="410" t="n"/>
      <c r="M192" s="410" t="n"/>
      <c r="N192" s="410" t="n"/>
      <c r="O192" s="410" t="n"/>
      <c r="P192" s="410" t="n"/>
      <c r="Q192" s="410" t="n"/>
      <c r="R192" s="410" t="n"/>
      <c r="S192" s="410" t="n"/>
      <c r="T192" s="410" t="n"/>
      <c r="U192" s="410" t="n"/>
      <c r="V192" s="410" t="n"/>
      <c r="W192" s="410" t="n"/>
      <c r="X192" s="410" t="n"/>
      <c r="Y192" s="410" t="n"/>
    </row>
    <row r="193" ht="16.5" customHeight="1" s="408">
      <c r="A193" s="410" t="n"/>
      <c r="B193" s="410" t="n"/>
      <c r="C193" s="410" t="n"/>
      <c r="D193" s="410" t="n"/>
      <c r="E193" s="410" t="n"/>
      <c r="F193" s="410" t="n"/>
      <c r="G193" s="410" t="n"/>
      <c r="H193" s="410" t="n"/>
      <c r="I193" s="410" t="n"/>
      <c r="J193" s="410" t="n"/>
      <c r="K193" s="410" t="n"/>
      <c r="L193" s="410" t="n"/>
      <c r="M193" s="410" t="n"/>
      <c r="N193" s="410" t="n"/>
      <c r="O193" s="410" t="n"/>
      <c r="P193" s="410" t="n"/>
      <c r="Q193" s="410" t="n"/>
      <c r="R193" s="410" t="n"/>
      <c r="S193" s="410" t="n"/>
      <c r="T193" s="410" t="n"/>
      <c r="U193" s="410" t="n"/>
      <c r="V193" s="410" t="n"/>
      <c r="W193" s="410" t="n"/>
      <c r="X193" s="410" t="n"/>
      <c r="Y193" s="410" t="n"/>
    </row>
    <row r="194" ht="16.5" customHeight="1" s="408">
      <c r="A194" s="410" t="n"/>
      <c r="B194" s="410" t="n"/>
      <c r="C194" s="410" t="n"/>
      <c r="D194" s="410" t="n"/>
      <c r="E194" s="410" t="n"/>
      <c r="F194" s="410" t="n"/>
      <c r="G194" s="410" t="n"/>
      <c r="H194" s="410" t="n"/>
      <c r="I194" s="410" t="n"/>
      <c r="J194" s="410" t="n"/>
      <c r="K194" s="410" t="n"/>
      <c r="L194" s="410" t="n"/>
      <c r="M194" s="410" t="n"/>
      <c r="N194" s="410" t="n"/>
      <c r="O194" s="410" t="n"/>
      <c r="P194" s="410" t="n"/>
      <c r="Q194" s="410" t="n"/>
      <c r="R194" s="410" t="n"/>
      <c r="S194" s="410" t="n"/>
      <c r="T194" s="410" t="n"/>
      <c r="U194" s="410" t="n"/>
      <c r="V194" s="410" t="n"/>
      <c r="W194" s="410" t="n"/>
      <c r="X194" s="410" t="n"/>
      <c r="Y194" s="410" t="n"/>
    </row>
    <row r="195" ht="16.5" customHeight="1" s="408">
      <c r="A195" s="410" t="n"/>
      <c r="B195" s="410" t="n"/>
      <c r="C195" s="410" t="n"/>
      <c r="D195" s="410" t="n"/>
      <c r="E195" s="410" t="n"/>
      <c r="F195" s="410" t="n"/>
      <c r="G195" s="410" t="n"/>
      <c r="H195" s="410" t="n"/>
      <c r="I195" s="410" t="n"/>
      <c r="J195" s="410" t="n"/>
      <c r="K195" s="410" t="n"/>
      <c r="L195" s="410" t="n"/>
      <c r="M195" s="410" t="n"/>
      <c r="N195" s="410" t="n"/>
      <c r="O195" s="410" t="n"/>
      <c r="P195" s="410" t="n"/>
      <c r="Q195" s="410" t="n"/>
      <c r="R195" s="410" t="n"/>
      <c r="S195" s="410" t="n"/>
      <c r="T195" s="410" t="n"/>
      <c r="U195" s="410" t="n"/>
      <c r="V195" s="410" t="n"/>
      <c r="W195" s="410" t="n"/>
      <c r="X195" s="410" t="n"/>
      <c r="Y195" s="410" t="n"/>
    </row>
    <row r="196" ht="16.5" customHeight="1" s="408">
      <c r="A196" s="410" t="n"/>
      <c r="B196" s="410" t="n"/>
      <c r="C196" s="410" t="n"/>
      <c r="D196" s="410" t="n"/>
      <c r="E196" s="410" t="n"/>
      <c r="F196" s="410" t="n"/>
      <c r="G196" s="410" t="n"/>
      <c r="H196" s="410" t="n"/>
      <c r="I196" s="410" t="n"/>
      <c r="J196" s="410" t="n"/>
      <c r="K196" s="410" t="n"/>
      <c r="L196" s="410" t="n"/>
      <c r="M196" s="410" t="n"/>
      <c r="N196" s="410" t="n"/>
      <c r="O196" s="410" t="n"/>
      <c r="P196" s="410" t="n"/>
      <c r="Q196" s="410" t="n"/>
      <c r="R196" s="410" t="n"/>
      <c r="S196" s="410" t="n"/>
      <c r="T196" s="410" t="n"/>
      <c r="U196" s="410" t="n"/>
      <c r="V196" s="410" t="n"/>
      <c r="W196" s="410" t="n"/>
      <c r="X196" s="410" t="n"/>
      <c r="Y196" s="410" t="n"/>
    </row>
    <row r="197" ht="16.5" customHeight="1" s="408">
      <c r="A197" s="410" t="n"/>
      <c r="B197" s="410" t="n"/>
      <c r="C197" s="410" t="n"/>
      <c r="D197" s="410" t="n"/>
      <c r="E197" s="410" t="n"/>
      <c r="F197" s="410" t="n"/>
      <c r="G197" s="410" t="n"/>
      <c r="H197" s="410" t="n"/>
      <c r="I197" s="410" t="n"/>
      <c r="J197" s="410" t="n"/>
      <c r="K197" s="410" t="n"/>
      <c r="L197" s="410" t="n"/>
      <c r="M197" s="410" t="n"/>
      <c r="N197" s="410" t="n"/>
      <c r="O197" s="410" t="n"/>
      <c r="P197" s="410" t="n"/>
      <c r="Q197" s="410" t="n"/>
      <c r="R197" s="410" t="n"/>
      <c r="S197" s="410" t="n"/>
      <c r="T197" s="410" t="n"/>
      <c r="U197" s="410" t="n"/>
      <c r="V197" s="410" t="n"/>
      <c r="W197" s="410" t="n"/>
      <c r="X197" s="410" t="n"/>
      <c r="Y197" s="410" t="n"/>
    </row>
    <row r="198" ht="16.5" customHeight="1" s="408">
      <c r="A198" s="410" t="n"/>
      <c r="B198" s="410" t="n"/>
      <c r="C198" s="410" t="n"/>
      <c r="D198" s="410" t="n"/>
      <c r="E198" s="410" t="n"/>
      <c r="F198" s="410" t="n"/>
      <c r="G198" s="410" t="n"/>
      <c r="H198" s="410" t="n"/>
      <c r="I198" s="410" t="n"/>
      <c r="J198" s="410" t="n"/>
      <c r="K198" s="410" t="n"/>
      <c r="L198" s="410" t="n"/>
      <c r="M198" s="410" t="n"/>
      <c r="N198" s="410" t="n"/>
      <c r="O198" s="410" t="n"/>
      <c r="P198" s="410" t="n"/>
      <c r="Q198" s="410" t="n"/>
      <c r="R198" s="410" t="n"/>
      <c r="S198" s="410" t="n"/>
      <c r="T198" s="410" t="n"/>
      <c r="U198" s="410" t="n"/>
      <c r="V198" s="410" t="n"/>
      <c r="W198" s="410" t="n"/>
      <c r="X198" s="410" t="n"/>
      <c r="Y198" s="410" t="n"/>
    </row>
    <row r="199" ht="16.5" customHeight="1" s="408">
      <c r="A199" s="410" t="n"/>
      <c r="B199" s="410" t="n"/>
      <c r="C199" s="410" t="n"/>
      <c r="D199" s="410" t="n"/>
      <c r="E199" s="410" t="n"/>
      <c r="F199" s="410" t="n"/>
      <c r="G199" s="410" t="n"/>
      <c r="H199" s="410" t="n"/>
      <c r="I199" s="410" t="n"/>
      <c r="J199" s="410" t="n"/>
      <c r="K199" s="410" t="n"/>
      <c r="L199" s="410" t="n"/>
      <c r="M199" s="410" t="n"/>
      <c r="N199" s="410" t="n"/>
      <c r="O199" s="410" t="n"/>
      <c r="P199" s="410" t="n"/>
      <c r="Q199" s="410" t="n"/>
      <c r="R199" s="410" t="n"/>
      <c r="S199" s="410" t="n"/>
      <c r="T199" s="410" t="n"/>
      <c r="U199" s="410" t="n"/>
      <c r="V199" s="410" t="n"/>
      <c r="W199" s="410" t="n"/>
      <c r="X199" s="410" t="n"/>
      <c r="Y199" s="410" t="n"/>
    </row>
    <row r="200" ht="16.5" customHeight="1" s="408">
      <c r="A200" s="410" t="n"/>
      <c r="B200" s="410" t="n"/>
      <c r="C200" s="410" t="n"/>
      <c r="D200" s="410" t="n"/>
      <c r="E200" s="410" t="n"/>
      <c r="F200" s="410" t="n"/>
      <c r="G200" s="410" t="n"/>
      <c r="H200" s="410" t="n"/>
      <c r="I200" s="410" t="n"/>
      <c r="J200" s="410" t="n"/>
      <c r="K200" s="410" t="n"/>
      <c r="L200" s="410" t="n"/>
      <c r="M200" s="410" t="n"/>
      <c r="N200" s="410" t="n"/>
      <c r="O200" s="410" t="n"/>
      <c r="P200" s="410" t="n"/>
      <c r="Q200" s="410" t="n"/>
      <c r="R200" s="410" t="n"/>
      <c r="S200" s="410" t="n"/>
      <c r="T200" s="410" t="n"/>
      <c r="U200" s="410" t="n"/>
      <c r="V200" s="410" t="n"/>
      <c r="W200" s="410" t="n"/>
      <c r="X200" s="410" t="n"/>
      <c r="Y200" s="410" t="n"/>
    </row>
    <row r="201" ht="16.5" customHeight="1" s="408">
      <c r="A201" s="410" t="n"/>
      <c r="B201" s="410" t="n"/>
      <c r="C201" s="410" t="n"/>
      <c r="D201" s="410" t="n"/>
      <c r="E201" s="410" t="n"/>
      <c r="F201" s="410" t="n"/>
      <c r="G201" s="410" t="n"/>
      <c r="H201" s="410" t="n"/>
      <c r="I201" s="410" t="n"/>
      <c r="J201" s="410" t="n"/>
      <c r="K201" s="410" t="n"/>
      <c r="L201" s="410" t="n"/>
      <c r="M201" s="410" t="n"/>
      <c r="N201" s="410" t="n"/>
      <c r="O201" s="410" t="n"/>
      <c r="P201" s="410" t="n"/>
      <c r="Q201" s="410" t="n"/>
      <c r="R201" s="410" t="n"/>
      <c r="S201" s="410" t="n"/>
      <c r="T201" s="410" t="n"/>
      <c r="U201" s="410" t="n"/>
      <c r="V201" s="410" t="n"/>
      <c r="W201" s="410" t="n"/>
      <c r="X201" s="410" t="n"/>
      <c r="Y201" s="410" t="n"/>
    </row>
    <row r="202" ht="16.5" customHeight="1" s="408">
      <c r="A202" s="410" t="n"/>
      <c r="B202" s="410" t="n"/>
      <c r="C202" s="410" t="n"/>
      <c r="D202" s="410" t="n"/>
      <c r="E202" s="410" t="n"/>
      <c r="F202" s="410" t="n"/>
      <c r="G202" s="410" t="n"/>
      <c r="H202" s="410" t="n"/>
      <c r="I202" s="410" t="n"/>
      <c r="J202" s="410" t="n"/>
      <c r="K202" s="410" t="n"/>
      <c r="L202" s="410" t="n"/>
      <c r="M202" s="410" t="n"/>
      <c r="N202" s="410" t="n"/>
      <c r="O202" s="410" t="n"/>
      <c r="P202" s="410" t="n"/>
      <c r="Q202" s="410" t="n"/>
      <c r="R202" s="410" t="n"/>
      <c r="S202" s="410" t="n"/>
      <c r="T202" s="410" t="n"/>
      <c r="U202" s="410" t="n"/>
      <c r="V202" s="410" t="n"/>
      <c r="W202" s="410" t="n"/>
      <c r="X202" s="410" t="n"/>
      <c r="Y202" s="410" t="n"/>
    </row>
    <row r="203" ht="16.5" customHeight="1" s="408">
      <c r="A203" s="410" t="n"/>
      <c r="B203" s="410" t="n"/>
      <c r="C203" s="410" t="n"/>
      <c r="D203" s="410" t="n"/>
      <c r="E203" s="410" t="n"/>
      <c r="F203" s="410" t="n"/>
      <c r="G203" s="410" t="n"/>
      <c r="H203" s="410" t="n"/>
      <c r="I203" s="410" t="n"/>
      <c r="J203" s="410" t="n"/>
      <c r="K203" s="410" t="n"/>
      <c r="L203" s="410" t="n"/>
      <c r="M203" s="410" t="n"/>
      <c r="N203" s="410" t="n"/>
      <c r="O203" s="410" t="n"/>
      <c r="P203" s="410" t="n"/>
      <c r="Q203" s="410" t="n"/>
      <c r="R203" s="410" t="n"/>
      <c r="S203" s="410" t="n"/>
      <c r="T203" s="410" t="n"/>
      <c r="U203" s="410" t="n"/>
      <c r="V203" s="410" t="n"/>
      <c r="W203" s="410" t="n"/>
      <c r="X203" s="410" t="n"/>
      <c r="Y203" s="410" t="n"/>
    </row>
    <row r="204" ht="16.5" customHeight="1" s="408">
      <c r="A204" s="410" t="n"/>
      <c r="B204" s="410" t="n"/>
      <c r="C204" s="410" t="n"/>
      <c r="D204" s="410" t="n"/>
      <c r="E204" s="410" t="n"/>
      <c r="F204" s="410" t="n"/>
      <c r="G204" s="410" t="n"/>
      <c r="H204" s="410" t="n"/>
      <c r="I204" s="410" t="n"/>
      <c r="J204" s="410" t="n"/>
      <c r="K204" s="410" t="n"/>
      <c r="L204" s="410" t="n"/>
      <c r="M204" s="410" t="n"/>
      <c r="N204" s="410" t="n"/>
      <c r="O204" s="410" t="n"/>
      <c r="P204" s="410" t="n"/>
      <c r="Q204" s="410" t="n"/>
      <c r="R204" s="410" t="n"/>
      <c r="S204" s="410" t="n"/>
      <c r="T204" s="410" t="n"/>
      <c r="U204" s="410" t="n"/>
      <c r="V204" s="410" t="n"/>
      <c r="W204" s="410" t="n"/>
      <c r="X204" s="410" t="n"/>
      <c r="Y204" s="410" t="n"/>
    </row>
    <row r="205" ht="16.5" customHeight="1" s="408">
      <c r="A205" s="410" t="n"/>
      <c r="B205" s="410" t="n"/>
      <c r="C205" s="410" t="n"/>
      <c r="D205" s="410" t="n"/>
      <c r="E205" s="410" t="n"/>
      <c r="F205" s="410" t="n"/>
      <c r="G205" s="410" t="n"/>
      <c r="H205" s="410" t="n"/>
      <c r="I205" s="410" t="n"/>
      <c r="J205" s="410" t="n"/>
      <c r="K205" s="410" t="n"/>
      <c r="L205" s="410" t="n"/>
      <c r="M205" s="410" t="n"/>
      <c r="N205" s="410" t="n"/>
      <c r="O205" s="410" t="n"/>
      <c r="P205" s="410" t="n"/>
      <c r="Q205" s="410" t="n"/>
      <c r="R205" s="410" t="n"/>
      <c r="S205" s="410" t="n"/>
      <c r="T205" s="410" t="n"/>
      <c r="U205" s="410" t="n"/>
      <c r="V205" s="410" t="n"/>
      <c r="W205" s="410" t="n"/>
      <c r="X205" s="410" t="n"/>
      <c r="Y205" s="410" t="n"/>
    </row>
    <row r="206" ht="16.5" customHeight="1" s="408">
      <c r="A206" s="410" t="n"/>
      <c r="B206" s="410" t="n"/>
      <c r="C206" s="410" t="n"/>
      <c r="D206" s="410" t="n"/>
      <c r="E206" s="410" t="n"/>
      <c r="F206" s="410" t="n"/>
      <c r="G206" s="410" t="n"/>
      <c r="H206" s="410" t="n"/>
      <c r="I206" s="410" t="n"/>
      <c r="J206" s="410" t="n"/>
      <c r="K206" s="410" t="n"/>
      <c r="L206" s="410" t="n"/>
      <c r="M206" s="410" t="n"/>
      <c r="N206" s="410" t="n"/>
      <c r="O206" s="410" t="n"/>
      <c r="P206" s="410" t="n"/>
      <c r="Q206" s="410" t="n"/>
      <c r="R206" s="410" t="n"/>
      <c r="S206" s="410" t="n"/>
      <c r="T206" s="410" t="n"/>
      <c r="U206" s="410" t="n"/>
      <c r="V206" s="410" t="n"/>
      <c r="W206" s="410" t="n"/>
      <c r="X206" s="410" t="n"/>
      <c r="Y206" s="410" t="n"/>
    </row>
    <row r="207" ht="16.5" customHeight="1" s="408">
      <c r="A207" s="410" t="n"/>
      <c r="B207" s="410" t="n"/>
      <c r="C207" s="410" t="n"/>
      <c r="D207" s="410" t="n"/>
      <c r="E207" s="410" t="n"/>
      <c r="F207" s="410" t="n"/>
      <c r="G207" s="410" t="n"/>
      <c r="H207" s="410" t="n"/>
      <c r="I207" s="410" t="n"/>
      <c r="J207" s="410" t="n"/>
      <c r="K207" s="410" t="n"/>
      <c r="L207" s="410" t="n"/>
      <c r="M207" s="410" t="n"/>
      <c r="N207" s="410" t="n"/>
      <c r="O207" s="410" t="n"/>
      <c r="P207" s="410" t="n"/>
      <c r="Q207" s="410" t="n"/>
      <c r="R207" s="410" t="n"/>
      <c r="S207" s="410" t="n"/>
      <c r="T207" s="410" t="n"/>
      <c r="U207" s="410" t="n"/>
      <c r="V207" s="410" t="n"/>
      <c r="W207" s="410" t="n"/>
      <c r="X207" s="410" t="n"/>
      <c r="Y207" s="410" t="n"/>
    </row>
    <row r="208" ht="16.5" customHeight="1" s="408">
      <c r="A208" s="410" t="n"/>
      <c r="B208" s="410" t="n"/>
      <c r="C208" s="410" t="n"/>
      <c r="D208" s="410" t="n"/>
      <c r="E208" s="410" t="n"/>
      <c r="F208" s="410" t="n"/>
      <c r="G208" s="410" t="n"/>
      <c r="H208" s="410" t="n"/>
      <c r="I208" s="410" t="n"/>
      <c r="J208" s="410" t="n"/>
      <c r="K208" s="410" t="n"/>
      <c r="L208" s="410" t="n"/>
      <c r="M208" s="410" t="n"/>
      <c r="N208" s="410" t="n"/>
      <c r="O208" s="410" t="n"/>
      <c r="P208" s="410" t="n"/>
      <c r="Q208" s="410" t="n"/>
      <c r="R208" s="410" t="n"/>
      <c r="S208" s="410" t="n"/>
      <c r="T208" s="410" t="n"/>
      <c r="U208" s="410" t="n"/>
      <c r="V208" s="410" t="n"/>
      <c r="W208" s="410" t="n"/>
      <c r="X208" s="410" t="n"/>
      <c r="Y208" s="410" t="n"/>
    </row>
    <row r="209" ht="16.5" customHeight="1" s="408">
      <c r="A209" s="410" t="n"/>
      <c r="B209" s="410" t="n"/>
      <c r="C209" s="410" t="n"/>
      <c r="D209" s="410" t="n"/>
      <c r="E209" s="410" t="n"/>
      <c r="F209" s="410" t="n"/>
      <c r="G209" s="410" t="n"/>
      <c r="H209" s="410" t="n"/>
      <c r="I209" s="410" t="n"/>
      <c r="J209" s="410" t="n"/>
      <c r="K209" s="410" t="n"/>
      <c r="L209" s="410" t="n"/>
      <c r="M209" s="410" t="n"/>
      <c r="N209" s="410" t="n"/>
      <c r="O209" s="410" t="n"/>
      <c r="P209" s="410" t="n"/>
      <c r="Q209" s="410" t="n"/>
      <c r="R209" s="410" t="n"/>
      <c r="S209" s="410" t="n"/>
      <c r="T209" s="410" t="n"/>
      <c r="U209" s="410" t="n"/>
      <c r="V209" s="410" t="n"/>
      <c r="W209" s="410" t="n"/>
      <c r="X209" s="410" t="n"/>
      <c r="Y209" s="410" t="n"/>
    </row>
    <row r="210" ht="16.5" customHeight="1" s="408">
      <c r="A210" s="410" t="n"/>
      <c r="B210" s="410" t="n"/>
      <c r="C210" s="410" t="n"/>
      <c r="D210" s="410" t="n"/>
      <c r="E210" s="410" t="n"/>
      <c r="F210" s="410" t="n"/>
      <c r="G210" s="410" t="n"/>
      <c r="H210" s="410" t="n"/>
      <c r="I210" s="410" t="n"/>
      <c r="J210" s="410" t="n"/>
      <c r="K210" s="410" t="n"/>
      <c r="L210" s="410" t="n"/>
      <c r="M210" s="410" t="n"/>
      <c r="N210" s="410" t="n"/>
      <c r="O210" s="410" t="n"/>
      <c r="P210" s="410" t="n"/>
      <c r="Q210" s="410" t="n"/>
      <c r="R210" s="410" t="n"/>
      <c r="S210" s="410" t="n"/>
      <c r="T210" s="410" t="n"/>
      <c r="U210" s="410" t="n"/>
      <c r="V210" s="410" t="n"/>
      <c r="W210" s="410" t="n"/>
      <c r="X210" s="410" t="n"/>
      <c r="Y210" s="410" t="n"/>
    </row>
    <row r="211" ht="16.5" customHeight="1" s="408">
      <c r="A211" s="410" t="n"/>
      <c r="B211" s="410" t="n"/>
      <c r="C211" s="410" t="n"/>
      <c r="D211" s="410" t="n"/>
      <c r="E211" s="410" t="n"/>
      <c r="F211" s="410" t="n"/>
      <c r="G211" s="410" t="n"/>
      <c r="H211" s="410" t="n"/>
      <c r="I211" s="410" t="n"/>
      <c r="J211" s="410" t="n"/>
      <c r="K211" s="410" t="n"/>
      <c r="L211" s="410" t="n"/>
      <c r="M211" s="410" t="n"/>
      <c r="N211" s="410" t="n"/>
      <c r="O211" s="410" t="n"/>
      <c r="P211" s="410" t="n"/>
      <c r="Q211" s="410" t="n"/>
      <c r="R211" s="410" t="n"/>
      <c r="S211" s="410" t="n"/>
      <c r="T211" s="410" t="n"/>
      <c r="U211" s="410" t="n"/>
      <c r="V211" s="410" t="n"/>
      <c r="W211" s="410" t="n"/>
      <c r="X211" s="410" t="n"/>
      <c r="Y211" s="410" t="n"/>
    </row>
    <row r="212" ht="16.5" customHeight="1" s="408">
      <c r="A212" s="410" t="n"/>
      <c r="B212" s="410" t="n"/>
      <c r="C212" s="410" t="n"/>
      <c r="D212" s="410" t="n"/>
      <c r="E212" s="410" t="n"/>
      <c r="F212" s="410" t="n"/>
      <c r="G212" s="410" t="n"/>
      <c r="H212" s="410" t="n"/>
      <c r="I212" s="410" t="n"/>
      <c r="J212" s="410" t="n"/>
      <c r="K212" s="410" t="n"/>
      <c r="L212" s="410" t="n"/>
      <c r="M212" s="410" t="n"/>
      <c r="N212" s="410" t="n"/>
      <c r="O212" s="410" t="n"/>
      <c r="P212" s="410" t="n"/>
      <c r="Q212" s="410" t="n"/>
      <c r="R212" s="410" t="n"/>
      <c r="S212" s="410" t="n"/>
      <c r="T212" s="410" t="n"/>
      <c r="U212" s="410" t="n"/>
      <c r="V212" s="410" t="n"/>
      <c r="W212" s="410" t="n"/>
      <c r="X212" s="410" t="n"/>
      <c r="Y212" s="410" t="n"/>
    </row>
    <row r="213" ht="16.5" customHeight="1" s="408">
      <c r="A213" s="410" t="n"/>
      <c r="B213" s="410" t="n"/>
      <c r="C213" s="410" t="n"/>
      <c r="D213" s="410" t="n"/>
      <c r="E213" s="410" t="n"/>
      <c r="F213" s="410" t="n"/>
      <c r="G213" s="410" t="n"/>
      <c r="H213" s="410" t="n"/>
      <c r="I213" s="410" t="n"/>
      <c r="J213" s="410" t="n"/>
      <c r="K213" s="410" t="n"/>
      <c r="L213" s="410" t="n"/>
      <c r="M213" s="410" t="n"/>
      <c r="N213" s="410" t="n"/>
      <c r="O213" s="410" t="n"/>
      <c r="P213" s="410" t="n"/>
      <c r="Q213" s="410" t="n"/>
      <c r="R213" s="410" t="n"/>
      <c r="S213" s="410" t="n"/>
      <c r="T213" s="410" t="n"/>
      <c r="U213" s="410" t="n"/>
      <c r="V213" s="410" t="n"/>
      <c r="W213" s="410" t="n"/>
      <c r="X213" s="410" t="n"/>
      <c r="Y213" s="410" t="n"/>
    </row>
    <row r="214" ht="16.5" customHeight="1" s="408">
      <c r="A214" s="410" t="n"/>
      <c r="B214" s="410" t="n"/>
      <c r="C214" s="410" t="n"/>
      <c r="D214" s="410" t="n"/>
      <c r="E214" s="410" t="n"/>
      <c r="F214" s="410" t="n"/>
      <c r="G214" s="410" t="n"/>
      <c r="H214" s="410" t="n"/>
      <c r="I214" s="410" t="n"/>
      <c r="J214" s="410" t="n"/>
      <c r="K214" s="410" t="n"/>
      <c r="L214" s="410" t="n"/>
      <c r="M214" s="410" t="n"/>
      <c r="N214" s="410" t="n"/>
      <c r="O214" s="410" t="n"/>
      <c r="P214" s="410" t="n"/>
      <c r="Q214" s="410" t="n"/>
      <c r="R214" s="410" t="n"/>
      <c r="S214" s="410" t="n"/>
      <c r="T214" s="410" t="n"/>
      <c r="U214" s="410" t="n"/>
      <c r="V214" s="410" t="n"/>
      <c r="W214" s="410" t="n"/>
      <c r="X214" s="410" t="n"/>
      <c r="Y214" s="410" t="n"/>
    </row>
    <row r="215" ht="16.5" customHeight="1" s="408">
      <c r="A215" s="410" t="n"/>
      <c r="B215" s="410" t="n"/>
      <c r="C215" s="410" t="n"/>
      <c r="D215" s="410" t="n"/>
      <c r="E215" s="410" t="n"/>
      <c r="F215" s="410" t="n"/>
      <c r="G215" s="410" t="n"/>
      <c r="H215" s="410" t="n"/>
      <c r="I215" s="410" t="n"/>
      <c r="J215" s="410" t="n"/>
      <c r="K215" s="410" t="n"/>
      <c r="L215" s="410" t="n"/>
      <c r="M215" s="410" t="n"/>
      <c r="N215" s="410" t="n"/>
      <c r="O215" s="410" t="n"/>
      <c r="P215" s="410" t="n"/>
      <c r="Q215" s="410" t="n"/>
      <c r="R215" s="410" t="n"/>
      <c r="S215" s="410" t="n"/>
      <c r="T215" s="410" t="n"/>
      <c r="U215" s="410" t="n"/>
      <c r="V215" s="410" t="n"/>
      <c r="W215" s="410" t="n"/>
      <c r="X215" s="410" t="n"/>
      <c r="Y215" s="410" t="n"/>
    </row>
    <row r="216" ht="16.5" customHeight="1" s="408">
      <c r="A216" s="410" t="n"/>
      <c r="B216" s="410" t="n"/>
      <c r="C216" s="410" t="n"/>
      <c r="D216" s="410" t="n"/>
      <c r="E216" s="410" t="n"/>
      <c r="F216" s="410" t="n"/>
      <c r="G216" s="410" t="n"/>
      <c r="H216" s="410" t="n"/>
      <c r="I216" s="410" t="n"/>
      <c r="J216" s="410" t="n"/>
      <c r="K216" s="410" t="n"/>
      <c r="L216" s="410" t="n"/>
      <c r="M216" s="410" t="n"/>
      <c r="N216" s="410" t="n"/>
      <c r="O216" s="410" t="n"/>
      <c r="P216" s="410" t="n"/>
      <c r="Q216" s="410" t="n"/>
      <c r="R216" s="410" t="n"/>
      <c r="S216" s="410" t="n"/>
      <c r="T216" s="410" t="n"/>
      <c r="U216" s="410" t="n"/>
      <c r="V216" s="410" t="n"/>
      <c r="W216" s="410" t="n"/>
      <c r="X216" s="410" t="n"/>
      <c r="Y216" s="410" t="n"/>
    </row>
    <row r="217" ht="16.5" customHeight="1" s="408">
      <c r="A217" s="410" t="n"/>
      <c r="B217" s="410" t="n"/>
      <c r="C217" s="410" t="n"/>
      <c r="D217" s="410" t="n"/>
      <c r="E217" s="410" t="n"/>
      <c r="F217" s="410" t="n"/>
      <c r="G217" s="410" t="n"/>
      <c r="H217" s="410" t="n"/>
      <c r="I217" s="410" t="n"/>
      <c r="J217" s="410" t="n"/>
      <c r="K217" s="410" t="n"/>
      <c r="L217" s="410" t="n"/>
      <c r="M217" s="410" t="n"/>
      <c r="N217" s="410" t="n"/>
      <c r="O217" s="410" t="n"/>
      <c r="P217" s="410" t="n"/>
      <c r="Q217" s="410" t="n"/>
      <c r="R217" s="410" t="n"/>
      <c r="S217" s="410" t="n"/>
      <c r="T217" s="410" t="n"/>
      <c r="U217" s="410" t="n"/>
      <c r="V217" s="410" t="n"/>
      <c r="W217" s="410" t="n"/>
      <c r="X217" s="410" t="n"/>
      <c r="Y217" s="410" t="n"/>
    </row>
    <row r="218" ht="16.5" customHeight="1" s="408">
      <c r="A218" s="410" t="n"/>
      <c r="B218" s="410" t="n"/>
      <c r="C218" s="410" t="n"/>
      <c r="D218" s="410" t="n"/>
      <c r="E218" s="410" t="n"/>
      <c r="F218" s="410" t="n"/>
      <c r="G218" s="410" t="n"/>
      <c r="H218" s="410" t="n"/>
      <c r="I218" s="410" t="n"/>
      <c r="J218" s="410" t="n"/>
      <c r="K218" s="410" t="n"/>
      <c r="L218" s="410" t="n"/>
      <c r="M218" s="410" t="n"/>
      <c r="N218" s="410" t="n"/>
      <c r="O218" s="410" t="n"/>
      <c r="P218" s="410" t="n"/>
      <c r="Q218" s="410" t="n"/>
      <c r="R218" s="410" t="n"/>
      <c r="S218" s="410" t="n"/>
      <c r="T218" s="410" t="n"/>
      <c r="U218" s="410" t="n"/>
      <c r="V218" s="410" t="n"/>
      <c r="W218" s="410" t="n"/>
      <c r="X218" s="410" t="n"/>
      <c r="Y218" s="410" t="n"/>
    </row>
    <row r="219" ht="16.5" customHeight="1" s="408">
      <c r="A219" s="410" t="n"/>
      <c r="B219" s="410" t="n"/>
      <c r="C219" s="410" t="n"/>
      <c r="D219" s="410" t="n"/>
      <c r="E219" s="410" t="n"/>
      <c r="F219" s="410" t="n"/>
      <c r="G219" s="410" t="n"/>
      <c r="H219" s="410" t="n"/>
      <c r="I219" s="410" t="n"/>
      <c r="J219" s="410" t="n"/>
      <c r="K219" s="410" t="n"/>
      <c r="L219" s="410" t="n"/>
      <c r="M219" s="410" t="n"/>
      <c r="N219" s="410" t="n"/>
      <c r="O219" s="410" t="n"/>
      <c r="P219" s="410" t="n"/>
      <c r="Q219" s="410" t="n"/>
      <c r="R219" s="410" t="n"/>
      <c r="S219" s="410" t="n"/>
      <c r="T219" s="410" t="n"/>
      <c r="U219" s="410" t="n"/>
      <c r="V219" s="410" t="n"/>
      <c r="W219" s="410" t="n"/>
      <c r="X219" s="410" t="n"/>
      <c r="Y219" s="410" t="n"/>
    </row>
    <row r="220" ht="16.5" customHeight="1" s="408">
      <c r="A220" s="410" t="n"/>
      <c r="B220" s="410" t="n"/>
      <c r="C220" s="410" t="n"/>
      <c r="D220" s="410" t="n"/>
      <c r="E220" s="410" t="n"/>
      <c r="F220" s="410" t="n"/>
      <c r="G220" s="410" t="n"/>
      <c r="H220" s="410" t="n"/>
      <c r="I220" s="410" t="n"/>
      <c r="J220" s="410" t="n"/>
      <c r="K220" s="410" t="n"/>
      <c r="L220" s="410" t="n"/>
      <c r="M220" s="410" t="n"/>
      <c r="N220" s="410" t="n"/>
      <c r="O220" s="410" t="n"/>
      <c r="P220" s="410" t="n"/>
      <c r="Q220" s="410" t="n"/>
      <c r="R220" s="410" t="n"/>
      <c r="S220" s="410" t="n"/>
      <c r="T220" s="410" t="n"/>
      <c r="U220" s="410" t="n"/>
      <c r="V220" s="410" t="n"/>
      <c r="W220" s="410" t="n"/>
      <c r="X220" s="410" t="n"/>
      <c r="Y220" s="410" t="n"/>
    </row>
    <row r="221" ht="16.5" customHeight="1" s="408">
      <c r="A221" s="410" t="n"/>
      <c r="B221" s="410" t="n"/>
      <c r="C221" s="410" t="n"/>
      <c r="D221" s="410" t="n"/>
      <c r="E221" s="410" t="n"/>
      <c r="F221" s="410" t="n"/>
      <c r="G221" s="410" t="n"/>
      <c r="H221" s="410" t="n"/>
      <c r="I221" s="410" t="n"/>
      <c r="J221" s="410" t="n"/>
      <c r="K221" s="410" t="n"/>
      <c r="L221" s="410" t="n"/>
      <c r="M221" s="410" t="n"/>
      <c r="N221" s="410" t="n"/>
      <c r="O221" s="410" t="n"/>
      <c r="P221" s="410" t="n"/>
      <c r="Q221" s="410" t="n"/>
      <c r="R221" s="410" t="n"/>
      <c r="S221" s="410" t="n"/>
      <c r="T221" s="410" t="n"/>
      <c r="U221" s="410" t="n"/>
      <c r="V221" s="410" t="n"/>
      <c r="W221" s="410" t="n"/>
      <c r="X221" s="410" t="n"/>
      <c r="Y221" s="410" t="n"/>
    </row>
    <row r="222" ht="15.75" customHeight="1" s="408"/>
    <row r="223" ht="15.75" customHeight="1" s="408"/>
    <row r="224" ht="15.75" customHeight="1" s="408"/>
    <row r="225" ht="15.75" customHeight="1" s="408"/>
    <row r="226" ht="15.75" customHeight="1" s="408"/>
    <row r="227" ht="15.75" customHeight="1" s="408"/>
    <row r="228" ht="15.75" customHeight="1" s="408"/>
    <row r="229" ht="15.75" customHeight="1" s="408"/>
    <row r="230" ht="15.75" customHeight="1" s="408"/>
    <row r="231" ht="15.75" customHeight="1" s="408"/>
    <row r="232" ht="15.75" customHeight="1" s="408"/>
    <row r="233" ht="15.75" customHeight="1" s="408"/>
    <row r="234" ht="15.75" customHeight="1" s="408"/>
    <row r="235" ht="15.75" customHeight="1" s="408"/>
    <row r="236" ht="15.75" customHeight="1" s="408"/>
    <row r="237" ht="15.75" customHeight="1" s="408"/>
    <row r="238" ht="15.75" customHeight="1" s="408"/>
    <row r="239" ht="15.75" customHeight="1" s="408"/>
    <row r="240" ht="15.75" customHeight="1" s="408"/>
    <row r="241" ht="15.75" customHeight="1" s="408"/>
    <row r="242" ht="15.75" customHeight="1" s="408"/>
    <row r="243" ht="15.75" customHeight="1" s="408"/>
    <row r="244" ht="15.75" customHeight="1" s="408"/>
    <row r="245" ht="15.75" customHeight="1" s="408"/>
    <row r="246" ht="15.75" customHeight="1" s="408"/>
    <row r="247" ht="15.75" customHeight="1" s="408"/>
    <row r="248" ht="15.75" customHeight="1" s="408"/>
    <row r="249" ht="15.75" customHeight="1" s="408"/>
    <row r="250" ht="15.75" customHeight="1" s="408"/>
    <row r="251" ht="15.75" customHeight="1" s="408"/>
    <row r="252" ht="15.75" customHeight="1" s="408"/>
    <row r="253" ht="15.75" customHeight="1" s="408"/>
    <row r="254" ht="15.75" customHeight="1" s="408"/>
    <row r="255" ht="15.75" customHeight="1" s="408"/>
    <row r="256" ht="15.75" customHeight="1" s="408"/>
    <row r="257" ht="15.75" customHeight="1" s="408"/>
    <row r="258" ht="15.75" customHeight="1" s="408"/>
    <row r="259" ht="15.75" customHeight="1" s="408"/>
    <row r="260" ht="15.75" customHeight="1" s="408"/>
    <row r="261" ht="15.75" customHeight="1" s="408"/>
    <row r="262" ht="15.75" customHeight="1" s="408"/>
    <row r="263" ht="15.75" customHeight="1" s="408"/>
    <row r="264" ht="15.75" customHeight="1" s="408"/>
    <row r="265" ht="15.75" customHeight="1" s="408"/>
    <row r="266" ht="15.75" customHeight="1" s="408"/>
    <row r="267" ht="15.75" customHeight="1" s="408"/>
    <row r="268" ht="15.75" customHeight="1" s="408"/>
    <row r="269" ht="15.75" customHeight="1" s="408"/>
    <row r="270" ht="15.75" customHeight="1" s="408"/>
    <row r="271" ht="15.75" customHeight="1" s="408"/>
    <row r="272" ht="15.75" customHeight="1" s="408"/>
    <row r="273" ht="15.75" customHeight="1" s="408"/>
    <row r="274" ht="15.75" customHeight="1" s="408"/>
    <row r="275" ht="15.75" customHeight="1" s="408"/>
    <row r="276" ht="15.75" customHeight="1" s="408"/>
    <row r="277" ht="15.75" customHeight="1" s="408"/>
    <row r="278" ht="15.75" customHeight="1" s="408"/>
    <row r="279" ht="15.75" customHeight="1" s="408"/>
    <row r="280" ht="15.75" customHeight="1" s="408"/>
    <row r="281" ht="15.75" customHeight="1" s="408"/>
    <row r="282" ht="15.75" customHeight="1" s="408"/>
    <row r="283" ht="15.75" customHeight="1" s="408"/>
    <row r="284" ht="15.75" customHeight="1" s="408"/>
    <row r="285" ht="15.75" customHeight="1" s="408"/>
    <row r="286" ht="15.75" customHeight="1" s="408"/>
    <row r="287" ht="15.75" customHeight="1" s="408"/>
    <row r="288" ht="15.75" customHeight="1" s="408"/>
    <row r="289" ht="15.75" customHeight="1" s="408"/>
    <row r="290" ht="15.75" customHeight="1" s="408"/>
    <row r="291" ht="15.75" customHeight="1" s="408"/>
    <row r="292" ht="15.75" customHeight="1" s="408"/>
    <row r="293" ht="15.75" customHeight="1" s="408"/>
    <row r="294" ht="15.75" customHeight="1" s="408"/>
    <row r="295" ht="15.75" customHeight="1" s="408"/>
    <row r="296" ht="15.75" customHeight="1" s="408"/>
    <row r="297" ht="15.75" customHeight="1" s="408"/>
    <row r="298" ht="15.75" customHeight="1" s="408"/>
    <row r="299" ht="15.75" customHeight="1" s="408"/>
    <row r="300" ht="15.75" customHeight="1" s="408"/>
    <row r="301" ht="15.75" customHeight="1" s="408"/>
    <row r="302" ht="15.75" customHeight="1" s="408"/>
    <row r="303" ht="15.75" customHeight="1" s="408"/>
    <row r="304" ht="15.75" customHeight="1" s="408"/>
    <row r="305" ht="15.75" customHeight="1" s="408"/>
    <row r="306" ht="15.75" customHeight="1" s="408"/>
    <row r="307" ht="15.75" customHeight="1" s="408"/>
    <row r="308" ht="15.75" customHeight="1" s="408"/>
    <row r="309" ht="15.75" customHeight="1" s="408"/>
    <row r="310" ht="15.75" customHeight="1" s="408"/>
    <row r="311" ht="15.75" customHeight="1" s="408"/>
    <row r="312" ht="15.75" customHeight="1" s="408"/>
    <row r="313" ht="15.75" customHeight="1" s="408"/>
    <row r="314" ht="15.75" customHeight="1" s="408"/>
    <row r="315" ht="15.75" customHeight="1" s="408"/>
    <row r="316" ht="15.75" customHeight="1" s="408"/>
    <row r="317" ht="15.75" customHeight="1" s="408"/>
    <row r="318" ht="15.75" customHeight="1" s="408"/>
    <row r="319" ht="15.75" customHeight="1" s="408"/>
    <row r="320" ht="15.75" customHeight="1" s="408"/>
    <row r="321" ht="15.75" customHeight="1" s="408"/>
    <row r="322" ht="15.75" customHeight="1" s="408"/>
    <row r="323" ht="15.75" customHeight="1" s="408"/>
    <row r="324" ht="15.75" customHeight="1" s="408"/>
    <row r="325" ht="15.75" customHeight="1" s="408"/>
    <row r="326" ht="15.75" customHeight="1" s="408"/>
    <row r="327" ht="15.75" customHeight="1" s="408"/>
    <row r="328" ht="15.75" customHeight="1" s="408"/>
    <row r="329" ht="15.75" customHeight="1" s="408"/>
    <row r="330" ht="15.75" customHeight="1" s="408"/>
    <row r="331" ht="15.75" customHeight="1" s="408"/>
    <row r="332" ht="15.75" customHeight="1" s="408"/>
    <row r="333" ht="15.75" customHeight="1" s="408"/>
    <row r="334" ht="15.75" customHeight="1" s="408"/>
    <row r="335" ht="15.75" customHeight="1" s="408"/>
    <row r="336" ht="15.75" customHeight="1" s="408"/>
    <row r="337" ht="15.75" customHeight="1" s="408"/>
    <row r="338" ht="15.75" customHeight="1" s="408"/>
    <row r="339" ht="15.75" customHeight="1" s="408"/>
    <row r="340" ht="15.75" customHeight="1" s="408"/>
    <row r="341" ht="15.75" customHeight="1" s="408"/>
    <row r="342" ht="15.75" customHeight="1" s="408"/>
    <row r="343" ht="15.75" customHeight="1" s="408"/>
    <row r="344" ht="15.75" customHeight="1" s="408"/>
    <row r="345" ht="15.75" customHeight="1" s="408"/>
    <row r="346" ht="15.75" customHeight="1" s="408"/>
    <row r="347" ht="15.75" customHeight="1" s="408"/>
    <row r="348" ht="15.75" customHeight="1" s="408"/>
    <row r="349" ht="15.75" customHeight="1" s="408"/>
    <row r="350" ht="15.75" customHeight="1" s="408"/>
    <row r="351" ht="15.75" customHeight="1" s="408"/>
    <row r="352" ht="15.75" customHeight="1" s="408"/>
    <row r="353" ht="15.75" customHeight="1" s="408"/>
    <row r="354" ht="15.75" customHeight="1" s="408"/>
    <row r="355" ht="15.75" customHeight="1" s="408"/>
    <row r="356" ht="15.75" customHeight="1" s="408"/>
    <row r="357" ht="15.75" customHeight="1" s="408"/>
    <row r="358" ht="15.75" customHeight="1" s="408"/>
    <row r="359" ht="15.75" customHeight="1" s="408"/>
    <row r="360" ht="15.75" customHeight="1" s="408"/>
    <row r="361" ht="15.75" customHeight="1" s="408"/>
    <row r="362" ht="15.75" customHeight="1" s="408"/>
    <row r="363" ht="15.75" customHeight="1" s="408"/>
    <row r="364" ht="15.75" customHeight="1" s="408"/>
    <row r="365" ht="15.75" customHeight="1" s="408"/>
    <row r="366" ht="15.75" customHeight="1" s="408"/>
    <row r="367" ht="15.75" customHeight="1" s="408"/>
    <row r="368" ht="15.75" customHeight="1" s="408"/>
    <row r="369" ht="15.75" customHeight="1" s="408"/>
    <row r="370" ht="15.75" customHeight="1" s="408"/>
    <row r="371" ht="15.75" customHeight="1" s="408"/>
    <row r="372" ht="15.75" customHeight="1" s="408"/>
    <row r="373" ht="15.75" customHeight="1" s="408"/>
    <row r="374" ht="15.75" customHeight="1" s="408"/>
    <row r="375" ht="15.75" customHeight="1" s="408"/>
    <row r="376" ht="15.75" customHeight="1" s="408"/>
    <row r="377" ht="15.75" customHeight="1" s="408"/>
    <row r="378" ht="15.75" customHeight="1" s="408"/>
    <row r="379" ht="15.75" customHeight="1" s="408"/>
    <row r="380" ht="15.75" customHeight="1" s="408"/>
    <row r="381" ht="15.75" customHeight="1" s="408"/>
    <row r="382" ht="15.75" customHeight="1" s="408"/>
    <row r="383" ht="15.75" customHeight="1" s="408"/>
    <row r="384" ht="15.75" customHeight="1" s="408"/>
    <row r="385" ht="15.75" customHeight="1" s="408"/>
    <row r="386" ht="15.75" customHeight="1" s="408"/>
    <row r="387" ht="15.75" customHeight="1" s="408"/>
    <row r="388" ht="15.75" customHeight="1" s="408"/>
    <row r="389" ht="15.75" customHeight="1" s="408"/>
    <row r="390" ht="15.75" customHeight="1" s="408"/>
    <row r="391" ht="15.75" customHeight="1" s="408"/>
    <row r="392" ht="15.75" customHeight="1" s="408"/>
    <row r="393" ht="15.75" customHeight="1" s="408"/>
    <row r="394" ht="15.75" customHeight="1" s="408"/>
    <row r="395" ht="15.75" customHeight="1" s="408"/>
    <row r="396" ht="15.75" customHeight="1" s="408"/>
    <row r="397" ht="15.75" customHeight="1" s="408"/>
    <row r="398" ht="15.75" customHeight="1" s="408"/>
    <row r="399" ht="15.75" customHeight="1" s="408"/>
    <row r="400" ht="15.75" customHeight="1" s="408"/>
    <row r="401" ht="15.75" customHeight="1" s="408"/>
    <row r="402" ht="15.75" customHeight="1" s="408"/>
    <row r="403" ht="15.75" customHeight="1" s="408"/>
    <row r="404" ht="15.75" customHeight="1" s="408"/>
    <row r="405" ht="15.75" customHeight="1" s="408"/>
    <row r="406" ht="15.75" customHeight="1" s="408"/>
    <row r="407" ht="15.75" customHeight="1" s="408"/>
    <row r="408" ht="15.75" customHeight="1" s="408"/>
    <row r="409" ht="15.75" customHeight="1" s="408"/>
    <row r="410" ht="15.75" customHeight="1" s="408"/>
    <row r="411" ht="15.75" customHeight="1" s="408"/>
    <row r="412" ht="15.75" customHeight="1" s="408"/>
    <row r="413" ht="15.75" customHeight="1" s="408"/>
    <row r="414" ht="15.75" customHeight="1" s="408"/>
    <row r="415" ht="15.75" customHeight="1" s="408"/>
    <row r="416" ht="15.75" customHeight="1" s="408"/>
    <row r="417" ht="15.75" customHeight="1" s="408"/>
    <row r="418" ht="15.75" customHeight="1" s="408"/>
    <row r="419" ht="15.75" customHeight="1" s="408"/>
    <row r="420" ht="15.75" customHeight="1" s="408"/>
    <row r="421" ht="15.75" customHeight="1" s="408"/>
    <row r="422" ht="15.75" customHeight="1" s="408"/>
    <row r="423" ht="15.75" customHeight="1" s="408"/>
    <row r="424" ht="15.75" customHeight="1" s="408"/>
    <row r="425" ht="15.75" customHeight="1" s="408"/>
    <row r="426" ht="15.75" customHeight="1" s="408"/>
    <row r="427" ht="15.75" customHeight="1" s="408"/>
    <row r="428" ht="15.75" customHeight="1" s="408"/>
    <row r="429" ht="15.75" customHeight="1" s="408"/>
    <row r="430" ht="15.75" customHeight="1" s="408"/>
    <row r="431" ht="15.75" customHeight="1" s="408"/>
    <row r="432" ht="15.75" customHeight="1" s="408"/>
    <row r="433" ht="15.75" customHeight="1" s="408"/>
    <row r="434" ht="15.75" customHeight="1" s="408"/>
    <row r="435" ht="15.75" customHeight="1" s="408"/>
    <row r="436" ht="15.75" customHeight="1" s="408"/>
    <row r="437" ht="15.75" customHeight="1" s="408"/>
    <row r="438" ht="15.75" customHeight="1" s="408"/>
    <row r="439" ht="15.75" customHeight="1" s="408"/>
    <row r="440" ht="15.75" customHeight="1" s="408"/>
    <row r="441" ht="15.75" customHeight="1" s="408"/>
    <row r="442" ht="15.75" customHeight="1" s="408"/>
    <row r="443" ht="15.75" customHeight="1" s="408"/>
    <row r="444" ht="15.75" customHeight="1" s="408"/>
    <row r="445" ht="15.75" customHeight="1" s="408"/>
    <row r="446" ht="15.75" customHeight="1" s="408"/>
    <row r="447" ht="15.75" customHeight="1" s="408"/>
    <row r="448" ht="15.75" customHeight="1" s="408"/>
    <row r="449" ht="15.75" customHeight="1" s="408"/>
    <row r="450" ht="15.75" customHeight="1" s="408"/>
    <row r="451" ht="15.75" customHeight="1" s="408"/>
    <row r="452" ht="15.75" customHeight="1" s="408"/>
    <row r="453" ht="15.75" customHeight="1" s="408"/>
    <row r="454" ht="15.75" customHeight="1" s="408"/>
    <row r="455" ht="15.75" customHeight="1" s="408"/>
    <row r="456" ht="15.75" customHeight="1" s="408"/>
    <row r="457" ht="15.75" customHeight="1" s="408"/>
    <row r="458" ht="15.75" customHeight="1" s="408"/>
    <row r="459" ht="15.75" customHeight="1" s="408"/>
    <row r="460" ht="15.75" customHeight="1" s="408"/>
    <row r="461" ht="15.75" customHeight="1" s="408"/>
    <row r="462" ht="15.75" customHeight="1" s="408"/>
    <row r="463" ht="15.75" customHeight="1" s="408"/>
    <row r="464" ht="15.75" customHeight="1" s="408"/>
    <row r="465" ht="15.75" customHeight="1" s="408"/>
    <row r="466" ht="15.75" customHeight="1" s="408"/>
    <row r="467" ht="15.75" customHeight="1" s="408"/>
    <row r="468" ht="15.75" customHeight="1" s="408"/>
    <row r="469" ht="15.75" customHeight="1" s="408"/>
    <row r="470" ht="15.75" customHeight="1" s="408"/>
    <row r="471" ht="15.75" customHeight="1" s="408"/>
    <row r="472" ht="15.75" customHeight="1" s="408"/>
    <row r="473" ht="15.75" customHeight="1" s="408"/>
    <row r="474" ht="15.75" customHeight="1" s="408"/>
    <row r="475" ht="15.75" customHeight="1" s="408"/>
    <row r="476" ht="15.75" customHeight="1" s="408"/>
    <row r="477" ht="15.75" customHeight="1" s="408"/>
    <row r="478" ht="15.75" customHeight="1" s="408"/>
    <row r="479" ht="15.75" customHeight="1" s="408"/>
    <row r="480" ht="15.75" customHeight="1" s="408"/>
    <row r="481" ht="15.75" customHeight="1" s="408"/>
    <row r="482" ht="15.75" customHeight="1" s="408"/>
    <row r="483" ht="15.75" customHeight="1" s="408"/>
    <row r="484" ht="15.75" customHeight="1" s="408"/>
    <row r="485" ht="15.75" customHeight="1" s="408"/>
    <row r="486" ht="15.75" customHeight="1" s="408"/>
    <row r="487" ht="15.75" customHeight="1" s="408"/>
    <row r="488" ht="15.75" customHeight="1" s="408"/>
    <row r="489" ht="15.75" customHeight="1" s="408"/>
    <row r="490" ht="15.75" customHeight="1" s="408"/>
    <row r="491" ht="15.75" customHeight="1" s="408"/>
    <row r="492" ht="15.75" customHeight="1" s="408"/>
    <row r="493" ht="15.75" customHeight="1" s="408"/>
    <row r="494" ht="15.75" customHeight="1" s="408"/>
    <row r="495" ht="15.75" customHeight="1" s="408"/>
    <row r="496" ht="15.75" customHeight="1" s="408"/>
    <row r="497" ht="15.75" customHeight="1" s="408"/>
    <row r="498" ht="15.75" customHeight="1" s="408"/>
    <row r="499" ht="15.75" customHeight="1" s="408"/>
    <row r="500" ht="15.75" customHeight="1" s="408"/>
    <row r="501" ht="15.75" customHeight="1" s="408"/>
    <row r="502" ht="15.75" customHeight="1" s="408"/>
    <row r="503" ht="15.75" customHeight="1" s="408"/>
    <row r="504" ht="15.75" customHeight="1" s="408"/>
    <row r="505" ht="15.75" customHeight="1" s="408"/>
    <row r="506" ht="15.75" customHeight="1" s="408"/>
    <row r="507" ht="15.75" customHeight="1" s="408"/>
    <row r="508" ht="15.75" customHeight="1" s="408"/>
    <row r="509" ht="15.75" customHeight="1" s="408"/>
    <row r="510" ht="15.75" customHeight="1" s="408"/>
    <row r="511" ht="15.75" customHeight="1" s="408"/>
    <row r="512" ht="15.75" customHeight="1" s="408"/>
    <row r="513" ht="15.75" customHeight="1" s="408"/>
    <row r="514" ht="15.75" customHeight="1" s="408"/>
    <row r="515" ht="15.75" customHeight="1" s="408"/>
    <row r="516" ht="15.75" customHeight="1" s="408"/>
    <row r="517" ht="15.75" customHeight="1" s="408"/>
    <row r="518" ht="15.75" customHeight="1" s="408"/>
    <row r="519" ht="15.75" customHeight="1" s="408"/>
    <row r="520" ht="15.75" customHeight="1" s="408"/>
    <row r="521" ht="15.75" customHeight="1" s="408"/>
    <row r="522" ht="15.75" customHeight="1" s="408"/>
    <row r="523" ht="15.75" customHeight="1" s="408"/>
    <row r="524" ht="15.75" customHeight="1" s="408"/>
    <row r="525" ht="15.75" customHeight="1" s="408"/>
    <row r="526" ht="15.75" customHeight="1" s="408"/>
    <row r="527" ht="15.75" customHeight="1" s="408"/>
    <row r="528" ht="15.75" customHeight="1" s="408"/>
    <row r="529" ht="15.75" customHeight="1" s="408"/>
    <row r="530" ht="15.75" customHeight="1" s="408"/>
    <row r="531" ht="15.75" customHeight="1" s="408"/>
    <row r="532" ht="15.75" customHeight="1" s="408"/>
    <row r="533" ht="15.75" customHeight="1" s="408"/>
    <row r="534" ht="15.75" customHeight="1" s="408"/>
    <row r="535" ht="15.75" customHeight="1" s="408"/>
    <row r="536" ht="15.75" customHeight="1" s="408"/>
    <row r="537" ht="15.75" customHeight="1" s="408"/>
    <row r="538" ht="15.75" customHeight="1" s="408"/>
    <row r="539" ht="15.75" customHeight="1" s="408"/>
    <row r="540" ht="15.75" customHeight="1" s="408"/>
    <row r="541" ht="15.75" customHeight="1" s="408"/>
    <row r="542" ht="15.75" customHeight="1" s="408"/>
    <row r="543" ht="15.75" customHeight="1" s="408"/>
    <row r="544" ht="15.75" customHeight="1" s="408"/>
    <row r="545" ht="15.75" customHeight="1" s="408"/>
    <row r="546" ht="15.75" customHeight="1" s="408"/>
    <row r="547" ht="15.75" customHeight="1" s="408"/>
    <row r="548" ht="15.75" customHeight="1" s="408"/>
    <row r="549" ht="15.75" customHeight="1" s="408"/>
    <row r="550" ht="15.75" customHeight="1" s="408"/>
    <row r="551" ht="15.75" customHeight="1" s="408"/>
    <row r="552" ht="15.75" customHeight="1" s="408"/>
    <row r="553" ht="15.75" customHeight="1" s="408"/>
    <row r="554" ht="15.75" customHeight="1" s="408"/>
    <row r="555" ht="15.75" customHeight="1" s="408"/>
    <row r="556" ht="15.75" customHeight="1" s="408"/>
    <row r="557" ht="15.75" customHeight="1" s="408"/>
    <row r="558" ht="15.75" customHeight="1" s="408"/>
    <row r="559" ht="15.75" customHeight="1" s="408"/>
    <row r="560" ht="15.75" customHeight="1" s="408"/>
    <row r="561" ht="15.75" customHeight="1" s="408"/>
    <row r="562" ht="15.75" customHeight="1" s="408"/>
    <row r="563" ht="15.75" customHeight="1" s="408"/>
    <row r="564" ht="15.75" customHeight="1" s="408"/>
    <row r="565" ht="15.75" customHeight="1" s="408"/>
    <row r="566" ht="15.75" customHeight="1" s="408"/>
    <row r="567" ht="15.75" customHeight="1" s="408"/>
    <row r="568" ht="15.75" customHeight="1" s="408"/>
    <row r="569" ht="15.75" customHeight="1" s="408"/>
    <row r="570" ht="15.75" customHeight="1" s="408"/>
    <row r="571" ht="15.75" customHeight="1" s="408"/>
    <row r="572" ht="15.75" customHeight="1" s="408"/>
    <row r="573" ht="15.75" customHeight="1" s="408"/>
    <row r="574" ht="15.75" customHeight="1" s="408"/>
    <row r="575" ht="15.75" customHeight="1" s="408"/>
    <row r="576" ht="15.75" customHeight="1" s="408"/>
    <row r="577" ht="15.75" customHeight="1" s="408"/>
    <row r="578" ht="15.75" customHeight="1" s="408"/>
    <row r="579" ht="15.75" customHeight="1" s="408"/>
    <row r="580" ht="15.75" customHeight="1" s="408"/>
    <row r="581" ht="15.75" customHeight="1" s="408"/>
    <row r="582" ht="15.75" customHeight="1" s="408"/>
    <row r="583" ht="15.75" customHeight="1" s="408"/>
    <row r="584" ht="15.75" customHeight="1" s="408"/>
    <row r="585" ht="15.75" customHeight="1" s="408"/>
    <row r="586" ht="15.75" customHeight="1" s="408"/>
    <row r="587" ht="15.75" customHeight="1" s="408"/>
    <row r="588" ht="15.75" customHeight="1" s="408"/>
    <row r="589" ht="15.75" customHeight="1" s="408"/>
    <row r="590" ht="15.75" customHeight="1" s="408"/>
    <row r="591" ht="15.75" customHeight="1" s="408"/>
    <row r="592" ht="15.75" customHeight="1" s="408"/>
    <row r="593" ht="15.75" customHeight="1" s="408"/>
    <row r="594" ht="15.75" customHeight="1" s="408"/>
    <row r="595" ht="15.75" customHeight="1" s="408"/>
    <row r="596" ht="15.75" customHeight="1" s="408"/>
    <row r="597" ht="15.75" customHeight="1" s="408"/>
    <row r="598" ht="15.75" customHeight="1" s="408"/>
    <row r="599" ht="15.75" customHeight="1" s="408"/>
    <row r="600" ht="15.75" customHeight="1" s="408"/>
    <row r="601" ht="15.75" customHeight="1" s="408"/>
    <row r="602" ht="15.75" customHeight="1" s="408"/>
    <row r="603" ht="15.75" customHeight="1" s="408"/>
    <row r="604" ht="15.75" customHeight="1" s="408"/>
    <row r="605" ht="15.75" customHeight="1" s="408"/>
    <row r="606" ht="15.75" customHeight="1" s="408"/>
    <row r="607" ht="15.75" customHeight="1" s="408"/>
    <row r="608" ht="15.75" customHeight="1" s="408"/>
    <row r="609" ht="15.75" customHeight="1" s="408"/>
    <row r="610" ht="15.75" customHeight="1" s="408"/>
    <row r="611" ht="15.75" customHeight="1" s="408"/>
    <row r="612" ht="15.75" customHeight="1" s="408"/>
    <row r="613" ht="15.75" customHeight="1" s="408"/>
    <row r="614" ht="15.75" customHeight="1" s="408"/>
    <row r="615" ht="15.75" customHeight="1" s="408"/>
    <row r="616" ht="15.75" customHeight="1" s="408"/>
    <row r="617" ht="15.75" customHeight="1" s="408"/>
    <row r="618" ht="15.75" customHeight="1" s="408"/>
    <row r="619" ht="15.75" customHeight="1" s="408"/>
    <row r="620" ht="15.75" customHeight="1" s="408"/>
    <row r="621" ht="15.75" customHeight="1" s="408"/>
    <row r="622" ht="15.75" customHeight="1" s="408"/>
    <row r="623" ht="15.75" customHeight="1" s="408"/>
    <row r="624" ht="15.75" customHeight="1" s="408"/>
    <row r="625" ht="15.75" customHeight="1" s="408"/>
    <row r="626" ht="15.75" customHeight="1" s="408"/>
    <row r="627" ht="15.75" customHeight="1" s="408"/>
    <row r="628" ht="15.75" customHeight="1" s="408"/>
    <row r="629" ht="15.75" customHeight="1" s="408"/>
    <row r="630" ht="15.75" customHeight="1" s="408"/>
    <row r="631" ht="15.75" customHeight="1" s="408"/>
    <row r="632" ht="15.75" customHeight="1" s="408"/>
    <row r="633" ht="15.75" customHeight="1" s="408"/>
    <row r="634" ht="15.75" customHeight="1" s="408"/>
    <row r="635" ht="15.75" customHeight="1" s="408"/>
    <row r="636" ht="15.75" customHeight="1" s="408"/>
    <row r="637" ht="15.75" customHeight="1" s="408"/>
    <row r="638" ht="15.75" customHeight="1" s="408"/>
    <row r="639" ht="15.75" customHeight="1" s="408"/>
    <row r="640" ht="15.75" customHeight="1" s="408"/>
    <row r="641" ht="15.75" customHeight="1" s="408"/>
    <row r="642" ht="15.75" customHeight="1" s="408"/>
    <row r="643" ht="15.75" customHeight="1" s="408"/>
    <row r="644" ht="15.75" customHeight="1" s="408"/>
    <row r="645" ht="15.75" customHeight="1" s="408"/>
    <row r="646" ht="15.75" customHeight="1" s="408"/>
    <row r="647" ht="15.75" customHeight="1" s="408"/>
    <row r="648" ht="15.75" customHeight="1" s="408"/>
    <row r="649" ht="15.75" customHeight="1" s="408"/>
    <row r="650" ht="15.75" customHeight="1" s="408"/>
    <row r="651" ht="15.75" customHeight="1" s="408"/>
    <row r="652" ht="15.75" customHeight="1" s="408"/>
    <row r="653" ht="15.75" customHeight="1" s="408"/>
    <row r="654" ht="15.75" customHeight="1" s="408"/>
    <row r="655" ht="15.75" customHeight="1" s="408"/>
    <row r="656" ht="15.75" customHeight="1" s="408"/>
    <row r="657" ht="15.75" customHeight="1" s="408"/>
    <row r="658" ht="15.75" customHeight="1" s="408"/>
    <row r="659" ht="15.75" customHeight="1" s="408"/>
    <row r="660" ht="15.75" customHeight="1" s="408"/>
    <row r="661" ht="15.75" customHeight="1" s="408"/>
    <row r="662" ht="15.75" customHeight="1" s="408"/>
    <row r="663" ht="15.75" customHeight="1" s="408"/>
    <row r="664" ht="15.75" customHeight="1" s="408"/>
    <row r="665" ht="15.75" customHeight="1" s="408"/>
    <row r="666" ht="15.75" customHeight="1" s="408"/>
    <row r="667" ht="15.75" customHeight="1" s="408"/>
    <row r="668" ht="15.75" customHeight="1" s="408"/>
    <row r="669" ht="15.75" customHeight="1" s="408"/>
    <row r="670" ht="15.75" customHeight="1" s="408"/>
    <row r="671" ht="15.75" customHeight="1" s="408"/>
    <row r="672" ht="15.75" customHeight="1" s="408"/>
    <row r="673" ht="15.75" customHeight="1" s="408"/>
    <row r="674" ht="15.75" customHeight="1" s="408"/>
    <row r="675" ht="15.75" customHeight="1" s="408"/>
    <row r="676" ht="15.75" customHeight="1" s="408"/>
    <row r="677" ht="15.75" customHeight="1" s="408"/>
    <row r="678" ht="15.75" customHeight="1" s="408"/>
    <row r="679" ht="15.75" customHeight="1" s="408"/>
    <row r="680" ht="15.75" customHeight="1" s="408"/>
    <row r="681" ht="15.75" customHeight="1" s="408"/>
    <row r="682" ht="15.75" customHeight="1" s="408"/>
    <row r="683" ht="15.75" customHeight="1" s="408"/>
    <row r="684" ht="15.75" customHeight="1" s="408"/>
    <row r="685" ht="15.75" customHeight="1" s="408"/>
    <row r="686" ht="15.75" customHeight="1" s="408"/>
    <row r="687" ht="15.75" customHeight="1" s="408"/>
    <row r="688" ht="15.75" customHeight="1" s="408"/>
    <row r="689" ht="15.75" customHeight="1" s="408"/>
    <row r="690" ht="15.75" customHeight="1" s="408"/>
    <row r="691" ht="15.75" customHeight="1" s="408"/>
    <row r="692" ht="15.75" customHeight="1" s="408"/>
    <row r="693" ht="15.75" customHeight="1" s="408"/>
    <row r="694" ht="15.75" customHeight="1" s="408"/>
    <row r="695" ht="15.75" customHeight="1" s="408"/>
    <row r="696" ht="15.75" customHeight="1" s="408"/>
    <row r="697" ht="15.75" customHeight="1" s="408"/>
    <row r="698" ht="15.75" customHeight="1" s="408"/>
    <row r="699" ht="15.75" customHeight="1" s="408"/>
    <row r="700" ht="15.75" customHeight="1" s="408"/>
    <row r="701" ht="15.75" customHeight="1" s="408"/>
    <row r="702" ht="15.75" customHeight="1" s="408"/>
    <row r="703" ht="15.75" customHeight="1" s="408"/>
    <row r="704" ht="15.75" customHeight="1" s="408"/>
    <row r="705" ht="15.75" customHeight="1" s="408"/>
    <row r="706" ht="15.75" customHeight="1" s="408"/>
    <row r="707" ht="15.75" customHeight="1" s="408"/>
    <row r="708" ht="15.75" customHeight="1" s="408"/>
    <row r="709" ht="15.75" customHeight="1" s="408"/>
    <row r="710" ht="15.75" customHeight="1" s="408"/>
    <row r="711" ht="15.75" customHeight="1" s="408"/>
    <row r="712" ht="15.75" customHeight="1" s="408"/>
    <row r="713" ht="15.75" customHeight="1" s="408"/>
    <row r="714" ht="15.75" customHeight="1" s="408"/>
    <row r="715" ht="15.75" customHeight="1" s="408"/>
    <row r="716" ht="15.75" customHeight="1" s="408"/>
    <row r="717" ht="15.75" customHeight="1" s="408"/>
    <row r="718" ht="15.75" customHeight="1" s="408"/>
    <row r="719" ht="15.75" customHeight="1" s="408"/>
    <row r="720" ht="15.75" customHeight="1" s="408"/>
    <row r="721" ht="15.75" customHeight="1" s="408"/>
    <row r="722" ht="15.75" customHeight="1" s="408"/>
    <row r="723" ht="15.75" customHeight="1" s="408"/>
    <row r="724" ht="15.75" customHeight="1" s="408"/>
    <row r="725" ht="15.75" customHeight="1" s="408"/>
    <row r="726" ht="15.75" customHeight="1" s="408"/>
    <row r="727" ht="15.75" customHeight="1" s="408"/>
    <row r="728" ht="15.75" customHeight="1" s="408"/>
    <row r="729" ht="15.75" customHeight="1" s="408"/>
    <row r="730" ht="15.75" customHeight="1" s="408"/>
    <row r="731" ht="15.75" customHeight="1" s="408"/>
    <row r="732" ht="15.75" customHeight="1" s="408"/>
    <row r="733" ht="15.75" customHeight="1" s="408"/>
    <row r="734" ht="15.75" customHeight="1" s="408"/>
    <row r="735" ht="15.75" customHeight="1" s="408"/>
    <row r="736" ht="15.75" customHeight="1" s="408"/>
    <row r="737" ht="15.75" customHeight="1" s="408"/>
    <row r="738" ht="15.75" customHeight="1" s="408"/>
    <row r="739" ht="15.75" customHeight="1" s="408"/>
    <row r="740" ht="15.75" customHeight="1" s="408"/>
    <row r="741" ht="15.75" customHeight="1" s="408"/>
    <row r="742" ht="15.75" customHeight="1" s="408"/>
    <row r="743" ht="15.75" customHeight="1" s="408"/>
    <row r="744" ht="15.75" customHeight="1" s="408"/>
    <row r="745" ht="15.75" customHeight="1" s="408"/>
    <row r="746" ht="15.75" customHeight="1" s="408"/>
    <row r="747" ht="15.75" customHeight="1" s="408"/>
    <row r="748" ht="15.75" customHeight="1" s="408"/>
    <row r="749" ht="15.75" customHeight="1" s="408"/>
    <row r="750" ht="15.75" customHeight="1" s="408"/>
    <row r="751" ht="15.75" customHeight="1" s="408"/>
    <row r="752" ht="15.75" customHeight="1" s="408"/>
    <row r="753" ht="15.75" customHeight="1" s="408"/>
    <row r="754" ht="15.75" customHeight="1" s="408"/>
    <row r="755" ht="15.75" customHeight="1" s="408"/>
    <row r="756" ht="15.75" customHeight="1" s="408"/>
    <row r="757" ht="15.75" customHeight="1" s="408"/>
    <row r="758" ht="15.75" customHeight="1" s="408"/>
    <row r="759" ht="15.75" customHeight="1" s="408"/>
    <row r="760" ht="15.75" customHeight="1" s="408"/>
    <row r="761" ht="15.75" customHeight="1" s="408"/>
    <row r="762" ht="15.75" customHeight="1" s="408"/>
    <row r="763" ht="15.75" customHeight="1" s="408"/>
    <row r="764" ht="15.75" customHeight="1" s="408"/>
    <row r="765" ht="15.75" customHeight="1" s="408"/>
    <row r="766" ht="15.75" customHeight="1" s="408"/>
    <row r="767" ht="15.75" customHeight="1" s="408"/>
    <row r="768" ht="15.75" customHeight="1" s="408"/>
    <row r="769" ht="15.75" customHeight="1" s="408"/>
    <row r="770" ht="15.75" customHeight="1" s="408"/>
    <row r="771" ht="15.75" customHeight="1" s="408"/>
    <row r="772" ht="15.75" customHeight="1" s="408"/>
    <row r="773" ht="15.75" customHeight="1" s="408"/>
    <row r="774" ht="15.75" customHeight="1" s="408"/>
    <row r="775" ht="15.75" customHeight="1" s="408"/>
    <row r="776" ht="15.75" customHeight="1" s="408"/>
    <row r="777" ht="15.75" customHeight="1" s="408"/>
    <row r="778" ht="15.75" customHeight="1" s="408"/>
    <row r="779" ht="15.75" customHeight="1" s="408"/>
    <row r="780" ht="15.75" customHeight="1" s="408"/>
    <row r="781" ht="15.75" customHeight="1" s="408"/>
    <row r="782" ht="15.75" customHeight="1" s="408"/>
    <row r="783" ht="15.75" customHeight="1" s="408"/>
    <row r="784" ht="15.75" customHeight="1" s="408"/>
    <row r="785" ht="15.75" customHeight="1" s="408"/>
    <row r="786" ht="15.75" customHeight="1" s="408"/>
    <row r="787" ht="15.75" customHeight="1" s="408"/>
    <row r="788" ht="15.75" customHeight="1" s="408"/>
    <row r="789" ht="15.75" customHeight="1" s="408"/>
    <row r="790" ht="15.75" customHeight="1" s="408"/>
    <row r="791" ht="15.75" customHeight="1" s="408"/>
    <row r="792" ht="15.75" customHeight="1" s="408"/>
    <row r="793" ht="15.75" customHeight="1" s="408"/>
    <row r="794" ht="15.75" customHeight="1" s="408"/>
    <row r="795" ht="15.75" customHeight="1" s="408"/>
    <row r="796" ht="15.75" customHeight="1" s="408"/>
    <row r="797" ht="15.75" customHeight="1" s="408"/>
    <row r="798" ht="15.75" customHeight="1" s="408"/>
    <row r="799" ht="15.75" customHeight="1" s="408"/>
    <row r="800" ht="15.75" customHeight="1" s="408"/>
    <row r="801" ht="15.75" customHeight="1" s="408"/>
    <row r="802" ht="15.75" customHeight="1" s="408"/>
    <row r="803" ht="15.75" customHeight="1" s="408"/>
    <row r="804" ht="15.75" customHeight="1" s="408"/>
    <row r="805" ht="15.75" customHeight="1" s="408"/>
    <row r="806" ht="15.75" customHeight="1" s="408"/>
    <row r="807" ht="15.75" customHeight="1" s="408"/>
    <row r="808" ht="15.75" customHeight="1" s="408"/>
    <row r="809" ht="15.75" customHeight="1" s="408"/>
    <row r="810" ht="15.75" customHeight="1" s="408"/>
    <row r="811" ht="15.75" customHeight="1" s="408"/>
    <row r="812" ht="15.75" customHeight="1" s="408"/>
    <row r="813" ht="15.75" customHeight="1" s="408"/>
    <row r="814" ht="15.75" customHeight="1" s="408"/>
    <row r="815" ht="15.75" customHeight="1" s="408"/>
    <row r="816" ht="15.75" customHeight="1" s="408"/>
    <row r="817" ht="15.75" customHeight="1" s="408"/>
    <row r="818" ht="15.75" customHeight="1" s="408"/>
    <row r="819" ht="15.75" customHeight="1" s="408"/>
    <row r="820" ht="15.75" customHeight="1" s="408"/>
    <row r="821" ht="15.75" customHeight="1" s="408"/>
    <row r="822" ht="15.75" customHeight="1" s="408"/>
    <row r="823" ht="15.75" customHeight="1" s="408"/>
    <row r="824" ht="15.75" customHeight="1" s="408"/>
    <row r="825" ht="15.75" customHeight="1" s="408"/>
    <row r="826" ht="15.75" customHeight="1" s="408"/>
    <row r="827" ht="15.75" customHeight="1" s="408"/>
    <row r="828" ht="15.75" customHeight="1" s="408"/>
    <row r="829" ht="15.75" customHeight="1" s="408"/>
    <row r="830" ht="15.75" customHeight="1" s="408"/>
    <row r="831" ht="15.75" customHeight="1" s="408"/>
    <row r="832" ht="15.75" customHeight="1" s="408"/>
    <row r="833" ht="15.75" customHeight="1" s="408"/>
    <row r="834" ht="15.75" customHeight="1" s="408"/>
    <row r="835" ht="15.75" customHeight="1" s="408"/>
    <row r="836" ht="15.75" customHeight="1" s="408"/>
    <row r="837" ht="15.75" customHeight="1" s="408"/>
    <row r="838" ht="15.75" customHeight="1" s="408"/>
    <row r="839" ht="15.75" customHeight="1" s="408"/>
    <row r="840" ht="15.75" customHeight="1" s="408"/>
    <row r="841" ht="15.75" customHeight="1" s="408"/>
    <row r="842" ht="15.75" customHeight="1" s="408"/>
    <row r="843" ht="15.75" customHeight="1" s="408"/>
    <row r="844" ht="15.75" customHeight="1" s="408"/>
    <row r="845" ht="15.75" customHeight="1" s="408"/>
    <row r="846" ht="15.75" customHeight="1" s="408"/>
    <row r="847" ht="15.75" customHeight="1" s="408"/>
    <row r="848" ht="15.75" customHeight="1" s="408"/>
    <row r="849" ht="15.75" customHeight="1" s="408"/>
    <row r="850" ht="15.75" customHeight="1" s="408"/>
    <row r="851" ht="15.75" customHeight="1" s="408"/>
    <row r="852" ht="15.75" customHeight="1" s="408"/>
    <row r="853" ht="15.75" customHeight="1" s="408"/>
    <row r="854" ht="15.75" customHeight="1" s="408"/>
    <row r="855" ht="15.75" customHeight="1" s="408"/>
    <row r="856" ht="15.75" customHeight="1" s="408"/>
    <row r="857" ht="15.75" customHeight="1" s="408"/>
    <row r="858" ht="15.75" customHeight="1" s="408"/>
    <row r="859" ht="15.75" customHeight="1" s="408"/>
    <row r="860" ht="15.75" customHeight="1" s="408"/>
    <row r="861" ht="15.75" customHeight="1" s="408"/>
    <row r="862" ht="15.75" customHeight="1" s="408"/>
    <row r="863" ht="15.75" customHeight="1" s="408"/>
    <row r="864" ht="15.75" customHeight="1" s="408"/>
    <row r="865" ht="15.75" customHeight="1" s="408"/>
    <row r="866" ht="15.75" customHeight="1" s="408"/>
    <row r="867" ht="15.75" customHeight="1" s="408"/>
    <row r="868" ht="15.75" customHeight="1" s="408"/>
    <row r="869" ht="15.75" customHeight="1" s="408"/>
    <row r="870" ht="15.75" customHeight="1" s="408"/>
    <row r="871" ht="15.75" customHeight="1" s="408"/>
    <row r="872" ht="15.75" customHeight="1" s="408"/>
    <row r="873" ht="15.75" customHeight="1" s="408"/>
    <row r="874" ht="15.75" customHeight="1" s="408"/>
    <row r="875" ht="15.75" customHeight="1" s="408"/>
    <row r="876" ht="15.75" customHeight="1" s="408"/>
    <row r="877" ht="15.75" customHeight="1" s="408"/>
    <row r="878" ht="15.75" customHeight="1" s="408"/>
    <row r="879" ht="15.75" customHeight="1" s="408"/>
    <row r="880" ht="15.75" customHeight="1" s="408"/>
    <row r="881" ht="15.75" customHeight="1" s="408"/>
    <row r="882" ht="15.75" customHeight="1" s="408"/>
    <row r="883" ht="15.75" customHeight="1" s="408"/>
    <row r="884" ht="15.75" customHeight="1" s="408"/>
    <row r="885" ht="15.75" customHeight="1" s="408"/>
    <row r="886" ht="15.75" customHeight="1" s="408"/>
    <row r="887" ht="15.75" customHeight="1" s="408"/>
    <row r="888" ht="15.75" customHeight="1" s="408"/>
    <row r="889" ht="15.75" customHeight="1" s="408"/>
    <row r="890" ht="15.75" customHeight="1" s="408"/>
    <row r="891" ht="15.75" customHeight="1" s="408"/>
    <row r="892" ht="15.75" customHeight="1" s="408"/>
    <row r="893" ht="15.75" customHeight="1" s="408"/>
    <row r="894" ht="15.75" customHeight="1" s="408"/>
    <row r="895" ht="15.75" customHeight="1" s="408"/>
    <row r="896" ht="15.75" customHeight="1" s="408"/>
    <row r="897" ht="15.75" customHeight="1" s="408"/>
    <row r="898" ht="15.75" customHeight="1" s="408"/>
    <row r="899" ht="15.75" customHeight="1" s="408"/>
    <row r="900" ht="15.75" customHeight="1" s="408"/>
    <row r="901" ht="15.75" customHeight="1" s="408"/>
    <row r="902" ht="15.75" customHeight="1" s="408"/>
    <row r="903" ht="15.75" customHeight="1" s="408"/>
    <row r="904" ht="15.75" customHeight="1" s="408"/>
    <row r="905" ht="15.75" customHeight="1" s="408"/>
    <row r="906" ht="15.75" customHeight="1" s="408"/>
    <row r="907" ht="15.75" customHeight="1" s="408"/>
    <row r="908" ht="15.75" customHeight="1" s="408"/>
    <row r="909" ht="15.75" customHeight="1" s="408"/>
    <row r="910" ht="15.75" customHeight="1" s="408"/>
    <row r="911" ht="15.75" customHeight="1" s="408"/>
    <row r="912" ht="15.75" customHeight="1" s="408"/>
    <row r="913" ht="15.75" customHeight="1" s="408"/>
    <row r="914" ht="15.75" customHeight="1" s="408"/>
    <row r="915" ht="15.75" customHeight="1" s="408"/>
    <row r="916" ht="15.75" customHeight="1" s="408"/>
    <row r="917" ht="15.75" customHeight="1" s="408"/>
    <row r="918" ht="15.75" customHeight="1" s="408"/>
    <row r="919" ht="15.75" customHeight="1" s="408"/>
    <row r="920" ht="15.75" customHeight="1" s="408"/>
    <row r="921" ht="15.75" customHeight="1" s="408"/>
    <row r="922" ht="15.75" customHeight="1" s="408"/>
    <row r="923" ht="15.75" customHeight="1" s="408"/>
    <row r="924" ht="15.75" customHeight="1" s="408"/>
    <row r="925" ht="15.75" customHeight="1" s="408"/>
    <row r="926" ht="15.75" customHeight="1" s="408"/>
    <row r="927" ht="15.75" customHeight="1" s="408"/>
    <row r="928" ht="15.75" customHeight="1" s="408"/>
    <row r="929" ht="15.75" customHeight="1" s="408"/>
    <row r="930" ht="15.75" customHeight="1" s="408"/>
    <row r="931" ht="15.75" customHeight="1" s="408"/>
    <row r="932" ht="15.75" customHeight="1" s="408"/>
    <row r="933" ht="15.75" customHeight="1" s="408"/>
    <row r="934" ht="15.75" customHeight="1" s="408"/>
    <row r="935" ht="15.75" customHeight="1" s="408"/>
    <row r="936" ht="15.75" customHeight="1" s="408"/>
    <row r="937" ht="15.75" customHeight="1" s="408"/>
    <row r="938" ht="15.75" customHeight="1" s="408"/>
    <row r="939" ht="15.75" customHeight="1" s="408"/>
    <row r="940" ht="15.75" customHeight="1" s="408"/>
    <row r="941" ht="15.75" customHeight="1" s="408"/>
    <row r="942" ht="15.75" customHeight="1" s="408"/>
    <row r="943" ht="15.75" customHeight="1" s="408"/>
    <row r="944" ht="15.75" customHeight="1" s="408"/>
    <row r="945" ht="15.75" customHeight="1" s="408"/>
    <row r="946" ht="15.75" customHeight="1" s="408"/>
    <row r="947" ht="15.75" customHeight="1" s="408"/>
    <row r="948" ht="15.75" customHeight="1" s="408"/>
    <row r="949" ht="15.75" customHeight="1" s="408"/>
    <row r="950" ht="15.75" customHeight="1" s="408"/>
    <row r="951" ht="15.75" customHeight="1" s="408"/>
    <row r="952" ht="15.75" customHeight="1" s="408"/>
    <row r="953" ht="15.75" customHeight="1" s="408"/>
    <row r="954" ht="15.75" customHeight="1" s="408"/>
    <row r="955" ht="15.75" customHeight="1" s="408"/>
    <row r="956" ht="15.75" customHeight="1" s="408"/>
    <row r="957" ht="15.75" customHeight="1" s="408"/>
    <row r="958" ht="15.75" customHeight="1" s="408"/>
    <row r="959" ht="15.75" customHeight="1" s="408"/>
    <row r="960" ht="15.75" customHeight="1" s="408"/>
    <row r="961" ht="15.75" customHeight="1" s="408"/>
    <row r="962" ht="15.75" customHeight="1" s="408"/>
    <row r="963" ht="15.75" customHeight="1" s="408"/>
    <row r="964" ht="15.75" customHeight="1" s="408"/>
    <row r="965" ht="15.75" customHeight="1" s="408"/>
    <row r="966" ht="15.75" customHeight="1" s="408"/>
    <row r="967" ht="15.75" customHeight="1" s="408"/>
    <row r="968" ht="15.75" customHeight="1" s="408"/>
    <row r="969" ht="15.75" customHeight="1" s="408"/>
    <row r="970" ht="15.75" customHeight="1" s="408"/>
    <row r="971" ht="15.75" customHeight="1" s="408"/>
    <row r="972" ht="15.75" customHeight="1" s="408"/>
    <row r="973" ht="15.75" customHeight="1" s="408"/>
    <row r="974" ht="15.75" customHeight="1" s="408"/>
    <row r="975" ht="15.75" customHeight="1" s="408"/>
    <row r="976" ht="15.75" customHeight="1" s="408"/>
    <row r="977" ht="15.75" customHeight="1" s="408"/>
    <row r="978" ht="15.75" customHeight="1" s="408"/>
    <row r="979" ht="15.75" customHeight="1" s="408"/>
    <row r="980" ht="15.75" customHeight="1" s="408"/>
    <row r="981" ht="15.75" customHeight="1" s="408"/>
    <row r="982" ht="15.75" customHeight="1" s="408"/>
    <row r="983" ht="15.75" customHeight="1" s="408"/>
    <row r="984" ht="15.75" customHeight="1" s="408"/>
    <row r="985" ht="15.75" customHeight="1" s="408"/>
    <row r="986" ht="15.75" customHeight="1" s="408"/>
    <row r="987" ht="15.75" customHeight="1" s="408"/>
    <row r="988" ht="15.75" customHeight="1" s="408"/>
    <row r="989" ht="15.75" customHeight="1" s="408"/>
    <row r="990" ht="15.75" customHeight="1" s="408"/>
    <row r="991" ht="15.75" customHeight="1" s="408"/>
    <row r="992" ht="15.75" customHeight="1" s="408"/>
    <row r="993" ht="15.75" customHeight="1" s="408"/>
    <row r="994" ht="15.75" customHeight="1" s="408"/>
    <row r="995" ht="15.75" customHeight="1" s="408"/>
    <row r="996" ht="15.75" customHeight="1" s="408"/>
    <row r="997" ht="15.75" customHeight="1" s="408"/>
    <row r="998" ht="15.75" customHeight="1" s="408"/>
    <row r="999" ht="15.75" customHeight="1" s="408"/>
    <row r="1000" ht="15.75" customHeight="1" s="408"/>
  </sheetData>
  <mergeCells count="5">
    <mergeCell ref="C6:D6"/>
    <mergeCell ref="C7:D7"/>
    <mergeCell ref="B4:D4"/>
    <mergeCell ref="C5:D5"/>
    <mergeCell ref="C13:D13"/>
  </mergeCell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92D050"/>
    <outlinePr summaryBelow="1" summaryRight="1"/>
    <pageSetUpPr fitToPage="0"/>
  </sheetPr>
  <dimension ref="A1:L88"/>
  <sheetViews>
    <sheetView showFormulas="0" showGridLines="0" showRowColHeaders="1" showZeros="1" rightToLeft="0" tabSelected="1" showOutlineSymbols="1" defaultGridColor="1"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L9" activeCellId="0" sqref="L9"/>
    </sheetView>
  </sheetViews>
  <sheetFormatPr baseColWidth="8" defaultColWidth="12.6328125" defaultRowHeight="15" zeroHeight="0" outlineLevelRow="1"/>
  <cols>
    <col width="14.38" customWidth="1" style="407" min="1" max="1"/>
    <col width="28.38" customWidth="1" style="407" min="2" max="2"/>
    <col width="23.38" customWidth="1" style="407" min="3" max="3"/>
    <col width="32.88" customWidth="1" style="407" min="4" max="4"/>
    <col width="15.75" customWidth="1" style="407" min="5" max="5"/>
    <col width="42" customWidth="1" style="407" min="6" max="6"/>
    <col width="9.380000000000001" customWidth="1" style="407" min="7" max="7"/>
    <col width="10.88" customWidth="1" style="407" min="8" max="8"/>
    <col width="8" customWidth="1" style="407" min="9" max="10"/>
    <col width="9.52" customWidth="1" style="407" min="11" max="11"/>
    <col width="24.25" customWidth="1" style="408" min="12" max="12"/>
  </cols>
  <sheetData>
    <row r="1" ht="15.75" customHeight="1" s="408">
      <c r="A1" s="453" t="inlineStr">
        <is>
          <t xml:space="preserve"> </t>
        </is>
      </c>
      <c r="B1" s="454" t="inlineStr">
        <is>
          <t>ParrotEdu App</t>
        </is>
      </c>
      <c r="C1" s="454" t="n"/>
      <c r="D1" s="454" t="n"/>
      <c r="E1" s="454" t="n"/>
      <c r="F1" s="454" t="n"/>
      <c r="G1" s="454" t="n"/>
      <c r="H1" s="455" t="n"/>
      <c r="I1" s="455" t="n"/>
      <c r="J1" s="455" t="n"/>
      <c r="K1" s="455" t="n"/>
    </row>
    <row r="2" ht="15.75" customHeight="1" s="408">
      <c r="A2" s="453" t="inlineStr">
        <is>
          <t>Test  requirement</t>
        </is>
      </c>
      <c r="B2" s="457" t="inlineStr">
        <is>
          <t>Ôn thi - Kho đề Parrot</t>
        </is>
      </c>
      <c r="C2" s="454" t="n"/>
      <c r="D2" s="454" t="n"/>
      <c r="E2" s="454" t="n"/>
      <c r="F2" s="454" t="n"/>
      <c r="G2" s="454" t="n"/>
      <c r="H2" s="455" t="n"/>
      <c r="I2" s="455" t="n"/>
      <c r="J2" s="455" t="n"/>
      <c r="K2" s="455" t="n"/>
    </row>
    <row r="3" ht="15.75" customHeight="1" s="408">
      <c r="A3" s="453" t="inlineStr">
        <is>
          <t>TC_ID</t>
        </is>
      </c>
      <c r="B3" s="458" t="inlineStr">
        <is>
          <t>TC_PE_OnThiKhoDe</t>
        </is>
      </c>
      <c r="C3" s="458" t="n"/>
      <c r="D3" s="458" t="n"/>
      <c r="E3" s="458" t="n"/>
      <c r="F3" s="458" t="n"/>
      <c r="G3" s="458" t="n"/>
      <c r="H3" s="455" t="n"/>
      <c r="I3" s="455" t="n"/>
      <c r="J3" s="455" t="n"/>
      <c r="K3" s="455" t="n"/>
    </row>
    <row r="4" ht="15.75" customHeight="1" s="408">
      <c r="A4" s="453" t="inlineStr">
        <is>
          <t>Number of TCs</t>
        </is>
      </c>
      <c r="B4" s="459" t="inlineStr">
        <is>
          <t>Pass</t>
        </is>
      </c>
      <c r="C4" s="459" t="inlineStr">
        <is>
          <t>Fail</t>
        </is>
      </c>
      <c r="D4" s="459" t="inlineStr">
        <is>
          <t>N/A</t>
        </is>
      </c>
      <c r="E4" s="459" t="inlineStr">
        <is>
          <t>Pending</t>
        </is>
      </c>
      <c r="F4" s="459" t="inlineStr">
        <is>
          <t>Todo</t>
        </is>
      </c>
      <c r="G4" s="459" t="inlineStr">
        <is>
          <t>Retest</t>
        </is>
      </c>
      <c r="H4" s="455" t="n"/>
      <c r="I4" s="455" t="n"/>
      <c r="J4" s="455" t="n"/>
      <c r="K4" s="455" t="n"/>
    </row>
    <row r="5" ht="15.75" customHeight="1" s="408">
      <c r="A5" s="460">
        <f>(COUNTIFS(A9:A88, "TC_*")*2)</f>
        <v/>
      </c>
      <c r="B5" s="460">
        <f>COUNTIFS(I:J,"Pass")</f>
        <v/>
      </c>
      <c r="C5" s="460">
        <f>COUNTIFS(I:J, "Fail")</f>
        <v/>
      </c>
      <c r="D5" s="460">
        <f>COUNTIFS(I:J, "N/A")</f>
        <v/>
      </c>
      <c r="E5" s="460">
        <f>COUNTIFS(I:J, "pending")</f>
        <v/>
      </c>
      <c r="F5" s="461">
        <f>COUNTIFS(I:J, "todo")</f>
        <v/>
      </c>
      <c r="G5" s="460">
        <f>COUNTIFS(I:J, "re-test")</f>
        <v/>
      </c>
      <c r="H5" s="462" t="n"/>
      <c r="I5" s="462" t="n"/>
      <c r="J5" s="462" t="n"/>
      <c r="K5" s="462" t="n"/>
    </row>
    <row r="6" ht="12.75" customHeight="1" s="408">
      <c r="A6" s="463" t="n"/>
      <c r="B6" s="463" t="n"/>
      <c r="C6" s="463" t="n"/>
      <c r="D6" s="463" t="n"/>
      <c r="E6" s="463" t="n"/>
      <c r="F6" s="464" t="n"/>
      <c r="G6" s="464" t="n"/>
      <c r="H6" s="464" t="n"/>
      <c r="I6" s="465" t="inlineStr">
        <is>
          <t>ACTUAL OUTPUT - 1 [Name]</t>
        </is>
      </c>
      <c r="J6" s="466" t="n"/>
      <c r="K6" s="467" t="n"/>
      <c r="L6" s="500" t="inlineStr">
        <is>
          <t>Note</t>
        </is>
      </c>
    </row>
    <row r="7" ht="15.75" customHeight="1" s="408">
      <c r="A7" s="463" t="inlineStr">
        <is>
          <t>Test case ID</t>
        </is>
      </c>
      <c r="B7" s="463" t="inlineStr">
        <is>
          <t>Test  Case Name (*)</t>
        </is>
      </c>
      <c r="C7" s="463" t="inlineStr">
        <is>
          <t>Precondition</t>
        </is>
      </c>
      <c r="D7" s="463" t="inlineStr">
        <is>
          <t>Detail Step</t>
        </is>
      </c>
      <c r="E7" s="464" t="inlineStr">
        <is>
          <t>Test Data</t>
        </is>
      </c>
      <c r="F7" s="464" t="inlineStr">
        <is>
          <t>Expected Result(*)</t>
        </is>
      </c>
      <c r="G7" s="464" t="inlineStr">
        <is>
          <t>Priority
(*)</t>
        </is>
      </c>
      <c r="H7" s="464" t="inlineStr">
        <is>
          <t>TC Type
(*)</t>
        </is>
      </c>
      <c r="I7" s="465" t="inlineStr">
        <is>
          <t>PC</t>
        </is>
      </c>
      <c r="J7" s="467" t="n"/>
      <c r="K7" s="469" t="inlineStr">
        <is>
          <t xml:space="preserve">Execute Date </t>
        </is>
      </c>
      <c r="L7" s="501" t="n"/>
    </row>
    <row r="8" ht="25.5" customHeight="1" s="408">
      <c r="A8" s="472" t="n"/>
      <c r="B8" s="472" t="n"/>
      <c r="C8" s="472" t="n"/>
      <c r="D8" s="472" t="n"/>
      <c r="E8" s="472" t="n"/>
      <c r="F8" s="472" t="n"/>
      <c r="G8" s="472" t="n"/>
      <c r="H8" s="472" t="n"/>
      <c r="I8" s="473" t="inlineStr">
        <is>
          <t>Chrome</t>
        </is>
      </c>
      <c r="J8" s="473" t="inlineStr">
        <is>
          <t>Safari
(MAC)</t>
        </is>
      </c>
      <c r="K8" s="474" t="n"/>
      <c r="L8" s="502" t="n"/>
    </row>
    <row r="9" ht="15.75" customHeight="1" s="408">
      <c r="A9" s="503" t="inlineStr">
        <is>
          <t>I. Màn hình Danh sách đề (tab Kho đề Parrot)</t>
        </is>
      </c>
      <c r="B9" s="418" t="n"/>
    </row>
    <row r="10" ht="15.75" customHeight="1" s="408">
      <c r="A10" s="504" t="inlineStr">
        <is>
          <t>1. Card "Tiếp tục bài đang làm dở" &amp; label số lượng đề</t>
        </is>
      </c>
      <c r="B10" s="418" t="n"/>
    </row>
    <row r="11" ht="135.8" customHeight="1" s="408">
      <c r="A11" s="505">
        <f>IF(I11&gt;0,$B$3&amp;"_"&amp;SUBTOTAL(3,$I$9:I11),"")</f>
        <v/>
      </c>
      <c r="B11" s="505" t="inlineStr">
        <is>
          <t>Kiểm tra hiển thị card "Tiếp tục bài đang làm dở" khi có đề đang làm dở trong Kho đề</t>
        </is>
      </c>
      <c r="C11" s="505" t="inlineStr">
        <is>
          <t>1. Profile đang đăng nhập có ít nhất 1 đề trong Kho đề Parrot đang ở trạng thái làm dở (đã bắt đầu, chưa nộp, thời gian đếm ngược vẫn còn)</t>
        </is>
      </c>
      <c r="D11" s="505" t="inlineStr">
        <is>
          <t>1. Vào màn Ôn thi
2. Chọn tab Kho đề Parrot</t>
        </is>
      </c>
      <c r="E11" s="505" t="inlineStr"/>
      <c r="F11" s="505" t="inlineStr">
        <is>
          <t>2. Hiển thị card "Tiếp tục bài đang làm dở" ở đầu danh sách, gồm tên đề đang làm dở gần nhất và nút "Tiếp tục"</t>
        </is>
      </c>
      <c r="G11" s="505" t="inlineStr">
        <is>
          <t>High</t>
        </is>
      </c>
      <c r="H11" s="505" t="inlineStr">
        <is>
          <t>Function</t>
        </is>
      </c>
      <c r="I11" s="505" t="inlineStr">
        <is>
          <t>Todo</t>
        </is>
      </c>
      <c r="J11" s="505" t="inlineStr">
        <is>
          <t>Todo</t>
        </is>
      </c>
      <c r="K11" s="505" t="n"/>
      <c r="L11" s="505" t="inlineStr"/>
    </row>
    <row r="12" ht="57.45" customHeight="1" s="408">
      <c r="A12" s="505">
        <f>IF(I12&gt;0,$B$3&amp;"_"&amp;SUBTOTAL(3,$I$9:I12),"")</f>
        <v/>
      </c>
      <c r="B12" s="505" t="inlineStr">
        <is>
          <t>Kiểm tra không hiển thị card "Tiếp tục bài đang làm dở" khi profile không có đề nào đang làm dở</t>
        </is>
      </c>
      <c r="C12" s="505" t="inlineStr">
        <is>
          <t>1. Profile đang đăng nhập chưa làm đề nào hoặc đã nộp hết các đề đã làm trong Kho đề Parrot</t>
        </is>
      </c>
      <c r="D12" s="505" t="inlineStr">
        <is>
          <t>1. Vào màn Ôn thi
2. Chọn tab Kho đề Parrot</t>
        </is>
      </c>
      <c r="E12" s="505" t="inlineStr"/>
      <c r="F12" s="505" t="inlineStr">
        <is>
          <t>2. Không hiển thị card "Tiếp tục bài đang làm dở" ở đầu danh sách</t>
        </is>
      </c>
      <c r="G12" s="505" t="inlineStr">
        <is>
          <t>Medium</t>
        </is>
      </c>
      <c r="H12" s="505" t="inlineStr">
        <is>
          <t>GUI</t>
        </is>
      </c>
      <c r="I12" s="505" t="inlineStr">
        <is>
          <t>Todo</t>
        </is>
      </c>
      <c r="J12" s="505" t="inlineStr">
        <is>
          <t>Todo</t>
        </is>
      </c>
      <c r="K12" s="505" t="n"/>
      <c r="L12" s="505" t="inlineStr"/>
    </row>
    <row r="13" ht="57.45" customHeight="1" s="408">
      <c r="A13" s="505">
        <f>IF(I13&gt;0,$B$3&amp;"_"&amp;SUBTOTAL(3,$I$9:I13),"")</f>
        <v/>
      </c>
      <c r="B13" s="505" t="inlineStr">
        <is>
          <t>Kiểm tra card "Tiếp tục bài đang làm dở" chỉ hiển thị đúng 1 đề được làm dở gần nhất khi có nhiều đề đang làm dở cùng lúc</t>
        </is>
      </c>
      <c r="C13" s="505" t="inlineStr">
        <is>
          <t>1. Profile đang đăng nhập có từ 2 đề trở lên đang ở trạng thái làm dở (chưa nộp, còn thời gian đếm ngược)</t>
        </is>
      </c>
      <c r="D13" s="505" t="inlineStr">
        <is>
          <t>1. Vào màn Ôn thi
2. Chọn tab Kho đề Parrot
3. Quan sát tên đề hiển thị trên card "Tiếp tục bài đang làm dở"</t>
        </is>
      </c>
      <c r="E13" s="505" t="inlineStr"/>
      <c r="F13" s="505" t="inlineStr">
        <is>
          <t>3. Card chỉ hiển thị đúng 1 đề là đề được bắt đầu làm gần nhất (thời điểm bắt đầu làm mới nhất)</t>
        </is>
      </c>
      <c r="G13" s="505" t="inlineStr">
        <is>
          <t>Medium</t>
        </is>
      </c>
      <c r="H13" s="505" t="inlineStr">
        <is>
          <t>Function</t>
        </is>
      </c>
      <c r="I13" s="505" t="inlineStr">
        <is>
          <t>Todo</t>
        </is>
      </c>
      <c r="J13" s="505" t="inlineStr">
        <is>
          <t>Todo</t>
        </is>
      </c>
      <c r="K13" s="505" t="n"/>
      <c r="L13" s="505" t="inlineStr"/>
    </row>
    <row r="14" ht="57.45" customHeight="1" s="408">
      <c r="A14" s="505">
        <f>IF(I14&gt;0,$B$3&amp;"_"&amp;SUBTOTAL(3,$I$9:I14),"")</f>
        <v/>
      </c>
      <c r="B14" s="505" t="inlineStr">
        <is>
          <t>Kiểm tra chọn nút "Tiếp tục" trên card điều hướng đến màn Chi tiết đề và giữ nguyên tiến trình bài làm dở</t>
        </is>
      </c>
      <c r="C14" s="505" t="inlineStr">
        <is>
          <t>1. Đang ở tab Kho đề Parrot
2. Có card "Tiếp tục bài đang làm dở" hiển thị</t>
        </is>
      </c>
      <c r="D14" s="505" t="inlineStr">
        <is>
          <t>1. Chọn nút "Tiếp tục" trên card</t>
        </is>
      </c>
      <c r="E14" s="505" t="inlineStr"/>
      <c r="F14" s="505" t="inlineStr">
        <is>
          <t>1. Hệ thống chuyển đến màn Chi tiết đề (màn làm bài) đúng đề đang làm dở, giữ nguyên các câu đã trả lời và thời gian đếm ngược còn lại trước đó</t>
        </is>
      </c>
      <c r="G14" s="505" t="inlineStr">
        <is>
          <t>High</t>
        </is>
      </c>
      <c r="H14" s="505" t="inlineStr">
        <is>
          <t>Function</t>
        </is>
      </c>
      <c r="I14" s="505" t="inlineStr">
        <is>
          <t>Todo</t>
        </is>
      </c>
      <c r="J14" s="505" t="inlineStr">
        <is>
          <t>Todo</t>
        </is>
      </c>
      <c r="K14" s="505" t="n"/>
      <c r="L14" s="505" t="inlineStr"/>
    </row>
    <row r="15" ht="57.45" customHeight="1" s="408">
      <c r="A15" s="505">
        <f>IF(I15&gt;0,$B$3&amp;"_"&amp;SUBTOTAL(3,$I$9:I15),"")</f>
        <v/>
      </c>
      <c r="B15" s="505" t="inlineStr">
        <is>
          <t>Kiểm tra label "N đề" hiển thị đúng tổng số đề theo bộ lọc mặc định đang áp dụng</t>
        </is>
      </c>
      <c r="C15" s="505" t="inlineStr">
        <is>
          <t>1. Đang ở tab Kho đề Parrot với bộ lọc mặc định (theo khối lớp của profile)</t>
        </is>
      </c>
      <c r="D15" s="505" t="inlineStr">
        <is>
          <t>1. Quan sát label số lượng đề phía dưới card "Tiếp tục bài đang làm dở"</t>
        </is>
      </c>
      <c r="E15" s="505" t="inlineStr"/>
      <c r="F15" s="505" t="inlineStr">
        <is>
          <t>1. Label hiển thị đúng định dạng "N đề", với N bằng đúng tổng số đề công khai đang khớp bộ lọc hiện tại</t>
        </is>
      </c>
      <c r="G15" s="505" t="inlineStr">
        <is>
          <t>High</t>
        </is>
      </c>
      <c r="H15" s="505" t="inlineStr">
        <is>
          <t>Function</t>
        </is>
      </c>
      <c r="I15" s="505" t="inlineStr">
        <is>
          <t>Todo</t>
        </is>
      </c>
      <c r="J15" s="505" t="inlineStr">
        <is>
          <t>Todo</t>
        </is>
      </c>
      <c r="K15" s="505" t="n"/>
      <c r="L15" s="505" t="inlineStr"/>
    </row>
    <row r="16" ht="15.75" customHeight="1" s="408">
      <c r="A16" s="505">
        <f>IF(I16&gt;0,$B$3&amp;"_"&amp;SUBTOTAL(3,$I$9:I16),"")</f>
        <v/>
      </c>
      <c r="B16" s="505" t="inlineStr">
        <is>
          <t>Kiểm tra label "N đề" cập nhật ngay khi áp dụng bộ lọc mới</t>
        </is>
      </c>
      <c r="C16" s="505" t="inlineStr">
        <is>
          <t>1. Đang ở tab Kho đề Parrot, bộ lọc hiện tại đang áp dụng mặc định</t>
        </is>
      </c>
      <c r="D16" s="505" t="inlineStr">
        <is>
          <t>1. Mở bottom sheet Lọc đề thi
2. Chọn "Thi học kỳ" ở tab Loại kỳ thi
3. Chọn Xác nhận</t>
        </is>
      </c>
      <c r="E16" s="505" t="inlineStr">
        <is>
          <t>Loại kỳ thi: Thi học kỳ</t>
        </is>
      </c>
      <c r="F16" s="505" t="inlineStr">
        <is>
          <t>3. Label "N đề" cập nhật thành số lượng đề khớp đúng với bộ lọc "Thi học kỳ" vừa áp dụng</t>
        </is>
      </c>
      <c r="G16" s="505" t="inlineStr">
        <is>
          <t>Medium</t>
        </is>
      </c>
      <c r="H16" s="505" t="inlineStr">
        <is>
          <t>Function</t>
        </is>
      </c>
      <c r="I16" s="505" t="inlineStr">
        <is>
          <t>Todo</t>
        </is>
      </c>
      <c r="J16" s="505" t="inlineStr">
        <is>
          <t>Todo</t>
        </is>
      </c>
      <c r="K16" s="505" t="n"/>
      <c r="L16" s="505" t="inlineStr"/>
    </row>
    <row r="17" ht="79.5" customHeight="1" s="408">
      <c r="A17" s="504" t="inlineStr">
        <is>
          <t>2. Card đề thi - nội dung hiển thị &amp; điều hướng</t>
        </is>
      </c>
      <c r="B17" s="418" t="n"/>
    </row>
    <row r="18" ht="63" customHeight="1" s="408">
      <c r="A18" s="505">
        <f>IF(I18&gt;0,$B$3&amp;"_"&amp;SUBTOTAL(3,$I$9:I18),"")</f>
        <v/>
      </c>
      <c r="B18" s="505" t="inlineStr">
        <is>
          <t>Kiểm tra danh sách đề hiển thị theo đúng thứ tự từ đề được tạo mới nhất đến cũ nhất</t>
        </is>
      </c>
      <c r="C18" s="505" t="inlineStr">
        <is>
          <t>1. Có nhiều hơn 1 đề công khai khớp bộ lọc hiện tại</t>
        </is>
      </c>
      <c r="D18" s="505" t="inlineStr">
        <is>
          <t>1. Vào tab Kho đề Parrot
2. Quan sát thứ tự các card đề trong danh sách</t>
        </is>
      </c>
      <c r="E18" s="505" t="inlineStr"/>
      <c r="F18" s="505" t="inlineStr">
        <is>
          <t>2. Danh sách đề được sắp xếp theo thứ tự đề tạo mới nhất hiển thị trên cùng, đề cũ hơn hiển thị bên dưới</t>
        </is>
      </c>
      <c r="G18" s="505" t="inlineStr">
        <is>
          <t>High</t>
        </is>
      </c>
      <c r="H18" s="505" t="inlineStr">
        <is>
          <t>Function</t>
        </is>
      </c>
      <c r="I18" s="505" t="inlineStr">
        <is>
          <t>Todo</t>
        </is>
      </c>
      <c r="J18" s="505" t="inlineStr">
        <is>
          <t>Todo</t>
        </is>
      </c>
      <c r="K18" s="505" t="n"/>
      <c r="L18" s="505" t="inlineStr"/>
    </row>
    <row r="19" ht="63" customHeight="1" s="408">
      <c r="A19" s="505">
        <f>IF(I19&gt;0,$B$3&amp;"_"&amp;SUBTOTAL(3,$I$9:I19),"")</f>
        <v/>
      </c>
      <c r="B19" s="505" t="inlineStr">
        <is>
          <t>Kiểm tra card đề hiển thị đầy đủ Loại kỳ thi, Tên đề, Thời lượng (phút) và Tổng số câu đúng theo cấu hình trên CMS</t>
        </is>
      </c>
      <c r="C19" s="505" t="inlineStr">
        <is>
          <t>1. Có đề công khai hiển thị trong danh sách, đã biết trước cấu hình trên CMS (vd: Thời lượng 90 phút, 40 câu)</t>
        </is>
      </c>
      <c r="D19" s="505" t="inlineStr">
        <is>
          <t>1. Vào tab Kho đề Parrot
2. Quan sát nội dung card đề tương ứng</t>
        </is>
      </c>
      <c r="E19" s="505" t="inlineStr">
        <is>
          <t>Đề: "Đề thi thử vào 10 Sở DGDT TP Hà Nội (năm 2025)" - 90 phút - 40 câu</t>
        </is>
      </c>
      <c r="F19" s="505" t="inlineStr">
        <is>
          <t>2. Card hiển thị đúng Loại kỳ thi (vd: Thi vào 10), Tên đề, dòng "90 phút - 40 câu" khớp dữ liệu đã cấu hình trên CMS</t>
        </is>
      </c>
      <c r="G19" s="505" t="inlineStr">
        <is>
          <t>Medium</t>
        </is>
      </c>
      <c r="H19" s="505" t="inlineStr">
        <is>
          <t>Function</t>
        </is>
      </c>
      <c r="I19" s="505" t="inlineStr">
        <is>
          <t>Todo</t>
        </is>
      </c>
      <c r="J19" s="505" t="inlineStr">
        <is>
          <t>Todo</t>
        </is>
      </c>
      <c r="K19" s="505" t="n"/>
      <c r="L19" s="505" t="inlineStr"/>
    </row>
    <row r="20" ht="63" customHeight="1" s="408">
      <c r="A20" s="505">
        <f>IF(I20&gt;0,$B$3&amp;"_"&amp;SUBTOTAL(3,$I$9:I20),"")</f>
        <v/>
      </c>
      <c r="B20" s="505" t="inlineStr">
        <is>
          <t>Kiểm tra card đề được gắn Pro trên CMS hiển thị badge "Pro"</t>
        </is>
      </c>
      <c r="C20" s="505" t="inlineStr">
        <is>
          <t>1. Có đề đã được gắn thuộc tính Pro trên CMS và đang công khai</t>
        </is>
      </c>
      <c r="D20" s="505" t="inlineStr">
        <is>
          <t>1. Vào tab Kho đề Parrot
2. Quan sát card của đề Pro</t>
        </is>
      </c>
      <c r="E20" s="505" t="inlineStr"/>
      <c r="F20" s="505" t="inlineStr">
        <is>
          <t>2. Card hiển thị badge "Pro" cạnh Loại kỳ thi</t>
        </is>
      </c>
      <c r="G20" s="505" t="inlineStr">
        <is>
          <t>Medium</t>
        </is>
      </c>
      <c r="H20" s="505" t="inlineStr">
        <is>
          <t>GUI</t>
        </is>
      </c>
      <c r="I20" s="505" t="inlineStr">
        <is>
          <t>Todo</t>
        </is>
      </c>
      <c r="J20" s="505" t="inlineStr">
        <is>
          <t>Todo</t>
        </is>
      </c>
      <c r="K20" s="505" t="n"/>
      <c r="L20" s="505" t="inlineStr"/>
    </row>
    <row r="21" ht="51.75" customHeight="1" s="408">
      <c r="A21" s="505">
        <f>IF(I21&gt;0,$B$3&amp;"_"&amp;SUBTOTAL(3,$I$9:I21),"")</f>
        <v/>
      </c>
      <c r="B21" s="505" t="inlineStr">
        <is>
          <t>Kiểm tra card đề Free (không gắn Pro trên CMS) không hiển thị badge "Pro"</t>
        </is>
      </c>
      <c r="C21" s="505" t="inlineStr">
        <is>
          <t>1. Có đề không gắn thuộc tính Pro trên CMS và đang công khai</t>
        </is>
      </c>
      <c r="D21" s="505" t="inlineStr">
        <is>
          <t>1. Vào tab Kho đề Parrot
2. Quan sát card của đề Free</t>
        </is>
      </c>
      <c r="E21" s="505" t="inlineStr"/>
      <c r="F21" s="505" t="inlineStr">
        <is>
          <t>2. Card không hiển thị badge "Pro"</t>
        </is>
      </c>
      <c r="G21" s="505" t="inlineStr">
        <is>
          <t>Low</t>
        </is>
      </c>
      <c r="H21" s="505" t="inlineStr">
        <is>
          <t>GUI</t>
        </is>
      </c>
      <c r="I21" s="505" t="inlineStr">
        <is>
          <t>Todo</t>
        </is>
      </c>
      <c r="J21" s="505" t="inlineStr">
        <is>
          <t>Todo</t>
        </is>
      </c>
      <c r="K21" s="505" t="n"/>
      <c r="L21" s="505" t="inlineStr"/>
    </row>
    <row r="22" ht="40.5" customHeight="1" s="408">
      <c r="A22" s="505">
        <f>IF(I22&gt;0,$B$3&amp;"_"&amp;SUBTOTAL(3,$I$9:I22),"")</f>
        <v/>
      </c>
      <c r="B22" s="505" t="inlineStr">
        <is>
          <t>Kiểm tra card đề chưa từng làm lần nào không hiển thị bất kỳ trạng thái làm bài nào</t>
        </is>
      </c>
      <c r="C22" s="505" t="inlineStr">
        <is>
          <t>1. Có đề công khai mà profile hiện tại chưa từng bắt đầu làm lần nào</t>
        </is>
      </c>
      <c r="D22" s="505" t="inlineStr">
        <is>
          <t>1. Vào tab Kho đề Parrot
2. Quan sát card của đề chưa từng làm</t>
        </is>
      </c>
      <c r="E22" s="505" t="inlineStr"/>
      <c r="F22" s="505" t="inlineStr">
        <is>
          <t>2. Card không hiển thị trạng thái "Đang làm dở" hay "Đã hoàn thành", không hiển thị điểm số</t>
        </is>
      </c>
      <c r="G22" s="505" t="inlineStr">
        <is>
          <t>Medium</t>
        </is>
      </c>
      <c r="H22" s="505" t="inlineStr">
        <is>
          <t>GUI</t>
        </is>
      </c>
      <c r="I22" s="505" t="inlineStr">
        <is>
          <t>Todo</t>
        </is>
      </c>
      <c r="J22" s="505" t="inlineStr">
        <is>
          <t>Todo</t>
        </is>
      </c>
      <c r="K22" s="505" t="n"/>
      <c r="L22" s="505" t="inlineStr"/>
    </row>
    <row r="23" ht="63" customHeight="1" s="408">
      <c r="A23" s="505">
        <f>IF(I23&gt;0,$B$3&amp;"_"&amp;SUBTOTAL(3,$I$9:I23),"")</f>
        <v/>
      </c>
      <c r="B23" s="505" t="inlineStr">
        <is>
          <t>Kiểm tra card đề đang làm dở hiển thị trạng thái "Đang làm dở" và không hiển thị điểm số</t>
        </is>
      </c>
      <c r="C23" s="505" t="inlineStr">
        <is>
          <t>1. Có đề đang ở trạng thái làm dở (chưa nộp, còn thời gian)</t>
        </is>
      </c>
      <c r="D23" s="505" t="inlineStr">
        <is>
          <t>1. Vào tab Kho đề Parrot
2. Quan sát card của đề đang làm dở</t>
        </is>
      </c>
      <c r="E23" s="505" t="inlineStr"/>
      <c r="F23" s="505" t="inlineStr">
        <is>
          <t>2. Card hiển thị badge trạng thái "Đang làm dở", không hiển thị điểm số</t>
        </is>
      </c>
      <c r="G23" s="505" t="inlineStr">
        <is>
          <t>Medium</t>
        </is>
      </c>
      <c r="H23" s="505" t="inlineStr">
        <is>
          <t>GUI</t>
        </is>
      </c>
      <c r="I23" s="505" t="inlineStr">
        <is>
          <t>Todo</t>
        </is>
      </c>
      <c r="J23" s="505" t="inlineStr">
        <is>
          <t>Todo</t>
        </is>
      </c>
      <c r="K23" s="505" t="n"/>
      <c r="L23" s="505" t="inlineStr"/>
    </row>
    <row r="24" ht="63" customHeight="1" s="408">
      <c r="A24" s="505">
        <f>IF(I24&gt;0,$B$3&amp;"_"&amp;SUBTOTAL(3,$I$9:I24),"")</f>
        <v/>
      </c>
      <c r="B24" s="505" t="inlineStr">
        <is>
          <t>Kiểm tra card đề đã hoàn thành và không có phiên làm dở nào hiển thị trạng thái "Đã hoàn thành" kèm điểm số gần nhất</t>
        </is>
      </c>
      <c r="C24" s="505" t="inlineStr">
        <is>
          <t>1. Có đề đã được nộp bài hoàn chỉnh, không có phiên làm dở nào khác đang chạy</t>
        </is>
      </c>
      <c r="D24" s="505" t="inlineStr">
        <is>
          <t>1. Vào tab Kho đề Parrot
2. Quan sát card của đề đã hoàn thành</t>
        </is>
      </c>
      <c r="E24" s="505" t="inlineStr"/>
      <c r="F24" s="505" t="inlineStr">
        <is>
          <t>2. Card hiển thị "Điểm số: X.X" và badge trạng thái "Đã hoàn thành"</t>
        </is>
      </c>
      <c r="G24" s="505" t="inlineStr">
        <is>
          <t>Medium</t>
        </is>
      </c>
      <c r="H24" s="505" t="inlineStr">
        <is>
          <t>GUI</t>
        </is>
      </c>
      <c r="I24" s="505" t="inlineStr">
        <is>
          <t>Todo</t>
        </is>
      </c>
      <c r="J24" s="505" t="inlineStr">
        <is>
          <t>Todo</t>
        </is>
      </c>
      <c r="K24" s="505" t="n"/>
      <c r="L24" s="505" t="inlineStr"/>
    </row>
    <row r="25" ht="15.75" customHeight="1" s="408">
      <c r="A25" s="505">
        <f>IF(I25&gt;0,$B$3&amp;"_"&amp;SUBTOTAL(3,$I$9:I25),"")</f>
        <v/>
      </c>
      <c r="B25" s="505" t="inlineStr">
        <is>
          <t>Kiểm tra chọn 1 card đề bất kỳ điều hướng đến màn Thông tin đề</t>
        </is>
      </c>
      <c r="C25" s="505" t="inlineStr">
        <is>
          <t>1. Đang ở tab Kho đề Parrot, có ít nhất 1 card đề hiển thị</t>
        </is>
      </c>
      <c r="D25" s="505" t="inlineStr">
        <is>
          <t>1. Chọn vào 1 card đề trong danh sách</t>
        </is>
      </c>
      <c r="E25" s="505" t="inlineStr"/>
      <c r="F25" s="505" t="inlineStr">
        <is>
          <t>1. Hệ thống chuyển đến màn Thông tin đề tương ứng với đề vừa chọn</t>
        </is>
      </c>
      <c r="G25" s="505" t="inlineStr">
        <is>
          <t>High</t>
        </is>
      </c>
      <c r="H25" s="505" t="inlineStr">
        <is>
          <t>Function</t>
        </is>
      </c>
      <c r="I25" s="505" t="inlineStr">
        <is>
          <t>Todo</t>
        </is>
      </c>
      <c r="J25" s="505" t="inlineStr">
        <is>
          <t>Todo</t>
        </is>
      </c>
      <c r="K25" s="505" t="n"/>
      <c r="L25" s="505" t="inlineStr"/>
    </row>
    <row r="26" ht="46.5" customHeight="1" s="408">
      <c r="A26" s="503" t="inlineStr">
        <is>
          <t>II. Bottom sheet Tìm đề thi</t>
        </is>
      </c>
      <c r="B26" s="418" t="n"/>
    </row>
    <row r="27" ht="57.45" customHeight="1" s="408">
      <c r="A27" s="504" t="inlineStr">
        <is>
          <t>1. Tìm kiếm đề thi trong Kho đề Parrot</t>
        </is>
      </c>
      <c r="B27" s="418" t="n"/>
    </row>
    <row r="28" ht="57.45" customHeight="1" s="408">
      <c r="A28" s="505">
        <f>IF(I28&gt;0,$B$3&amp;"_"&amp;SUBTOTAL(3,$I$9:I28),"")</f>
        <v/>
      </c>
      <c r="B28" s="505" t="inlineStr">
        <is>
          <t>Kiểm tra chọn icon Tìm kiếm mở bottom sheet "Tìm đề thi"</t>
        </is>
      </c>
      <c r="C28" s="505" t="inlineStr">
        <is>
          <t>1. Đang ở tab Kho đề Parrot</t>
        </is>
      </c>
      <c r="D28" s="505" t="inlineStr">
        <is>
          <t>1. Chọn icon Tìm kiếm (kính lúp)</t>
        </is>
      </c>
      <c r="E28" s="505" t="inlineStr"/>
      <c r="F28" s="505" t="inlineStr">
        <is>
          <t>1. Bottom sheet "Tìm đề thi" mở lên, hiển thị dòng phụ "Tìm trong Kho đề ParrotEdu" và ô nhập liệu để trống</t>
        </is>
      </c>
      <c r="G28" s="505" t="inlineStr">
        <is>
          <t>High</t>
        </is>
      </c>
      <c r="H28" s="505" t="inlineStr">
        <is>
          <t>Function</t>
        </is>
      </c>
      <c r="I28" s="505" t="inlineStr">
        <is>
          <t>Todo</t>
        </is>
      </c>
      <c r="J28" s="505" t="inlineStr">
        <is>
          <t>Todo</t>
        </is>
      </c>
      <c r="K28" s="505" t="n"/>
      <c r="L28" s="505" t="inlineStr"/>
    </row>
    <row r="29" ht="60" customHeight="1" s="408">
      <c r="A29" s="505">
        <f>IF(I29&gt;0,$B$3&amp;"_"&amp;SUBTOTAL(3,$I$9:I29),"")</f>
        <v/>
      </c>
      <c r="B29" s="505" t="inlineStr">
        <is>
          <t>Kiểm tra trạng thái mặc định của bottom sheet Tìm đề thi khi chưa nhập nội dung</t>
        </is>
      </c>
      <c r="C29" s="505" t="inlineStr">
        <is>
          <t>1. Vừa mở bottom sheet Tìm đề thi, ô tìm kiếm chưa nhập gì</t>
        </is>
      </c>
      <c r="D29" s="505" t="inlineStr">
        <is>
          <t>1. Quan sát nội dung bottom sheet</t>
        </is>
      </c>
      <c r="E29" s="505" t="inlineStr"/>
      <c r="F29" s="505" t="inlineStr">
        <is>
          <t>1. Ô tìm kiếm hiển thị placeholder "Nhập tên đề thi", bên dưới hiển thị text hướng dẫn "Nhập tên đề thi để tìm kiếm", không hiển thị danh sách kết quả</t>
        </is>
      </c>
      <c r="G29" s="505" t="inlineStr">
        <is>
          <t>Low</t>
        </is>
      </c>
      <c r="H29" s="505" t="inlineStr">
        <is>
          <t>GUI</t>
        </is>
      </c>
      <c r="I29" s="505" t="inlineStr">
        <is>
          <t>Todo</t>
        </is>
      </c>
      <c r="J29" s="505" t="inlineStr">
        <is>
          <t>Todo</t>
        </is>
      </c>
      <c r="K29" s="505" t="n"/>
      <c r="L29" s="505" t="inlineStr"/>
    </row>
    <row r="30" ht="60" customHeight="1" s="408">
      <c r="A30" s="505">
        <f>IF(I30&gt;0,$B$3&amp;"_"&amp;SUBTOTAL(3,$I$9:I30),"")</f>
        <v/>
      </c>
      <c r="B30" s="505" t="inlineStr">
        <is>
          <t>Kiểm tra tìm kiếm theo tên đề và bấm Enter trả về đúng danh sách kết quả tương đối theo tên đề</t>
        </is>
      </c>
      <c r="C30" s="505" t="inlineStr">
        <is>
          <t>1. Đang mở bottom sheet Tìm đề thi
2. Có ít nhất 1 đề công khai trong Kho đề Parrot chứa ký tự "e" trong tên</t>
        </is>
      </c>
      <c r="D30" s="505" t="inlineStr">
        <is>
          <t>1. Nhập "e" vào ô tìm kiếm
2. Bấm Enter trên bàn phím</t>
        </is>
      </c>
      <c r="E30" s="505" t="inlineStr">
        <is>
          <t>Từ khóa: e</t>
        </is>
      </c>
      <c r="F30" s="505" t="inlineStr">
        <is>
          <t>2. Hệ thống hiển thị danh sách các đề có tên chứa "e", ví dụ "Thi thử vào 10 - Hà Nội 2025 - Đề 3", "Thi thử vào 10 - TP.HCM 2025 - Đề 1", "Đề tham khảo vào 10 - Hà Nội 2024"</t>
        </is>
      </c>
      <c r="G30" s="505" t="inlineStr">
        <is>
          <t>High</t>
        </is>
      </c>
      <c r="H30" s="505" t="inlineStr">
        <is>
          <t>Function</t>
        </is>
      </c>
      <c r="I30" s="505" t="inlineStr">
        <is>
          <t>Todo</t>
        </is>
      </c>
      <c r="J30" s="505" t="inlineStr">
        <is>
          <t>Todo</t>
        </is>
      </c>
      <c r="K30" s="505" t="n"/>
      <c r="L30" s="505" t="inlineStr"/>
    </row>
    <row r="31" ht="60" customHeight="1" s="408">
      <c r="A31" s="505">
        <f>IF(I31&gt;0,$B$3&amp;"_"&amp;SUBTOTAL(3,$I$9:I31),"")</f>
        <v/>
      </c>
      <c r="B31" s="505" t="inlineStr">
        <is>
          <t>Kiểm tra số lượng kết quả tìm kiếm hiển thị đúng định dạng "N kết quả"</t>
        </is>
      </c>
      <c r="C31" s="505" t="inlineStr">
        <is>
          <t>1. Đã thực hiện tìm kiếm với từ khóa có kết quả trả về</t>
        </is>
      </c>
      <c r="D31" s="505" t="inlineStr">
        <is>
          <t>1. Nhập từ khóa hợp lệ và bấm Enter</t>
        </is>
      </c>
      <c r="E31" s="505" t="inlineStr">
        <is>
          <t>Từ khóa: e</t>
        </is>
      </c>
      <c r="F31" s="505" t="inlineStr">
        <is>
          <t>1. Hiển thị "3 kết quả" khớp đúng số lượng đề trả về</t>
        </is>
      </c>
      <c r="G31" s="505" t="inlineStr">
        <is>
          <t>Medium</t>
        </is>
      </c>
      <c r="H31" s="505" t="inlineStr">
        <is>
          <t>Function</t>
        </is>
      </c>
      <c r="I31" s="505" t="inlineStr">
        <is>
          <t>Todo</t>
        </is>
      </c>
      <c r="J31" s="505" t="inlineStr">
        <is>
          <t>Todo</t>
        </is>
      </c>
      <c r="K31" s="505" t="n"/>
      <c r="L31" s="505" t="inlineStr"/>
    </row>
    <row r="32" ht="60" customHeight="1" s="408">
      <c r="A32" s="505">
        <f>IF(I32&gt;0,$B$3&amp;"_"&amp;SUBTOTAL(3,$I$9:I32),"")</f>
        <v/>
      </c>
      <c r="B32" s="505" t="inlineStr">
        <is>
          <t>Kiểm tra mỗi dòng kết quả tìm kiếm hiển thị đúng Tên đề và subtext "Thời lượng - Tổng số câu"</t>
        </is>
      </c>
      <c r="C32" s="505" t="inlineStr">
        <is>
          <t>1. Đã thực hiện tìm kiếm có kết quả trả về</t>
        </is>
      </c>
      <c r="D32" s="505" t="inlineStr">
        <is>
          <t>1. Quan sát 1 dòng kết quả bất kỳ trong danh sách</t>
        </is>
      </c>
      <c r="E32" s="505" t="inlineStr">
        <is>
          <t>Từ khóa: e</t>
        </is>
      </c>
      <c r="F32" s="505" t="inlineStr">
        <is>
          <t>1. Dòng kết quả hiển thị Tên đề ở dòng trên, subtext "90 phút - 40 câu" ở dòng dưới khớp dữ liệu thực tế của đề</t>
        </is>
      </c>
      <c r="G32" s="505" t="inlineStr">
        <is>
          <t>Medium</t>
        </is>
      </c>
      <c r="H32" s="505" t="inlineStr">
        <is>
          <t>GUI</t>
        </is>
      </c>
      <c r="I32" s="505" t="inlineStr">
        <is>
          <t>Todo</t>
        </is>
      </c>
      <c r="J32" s="505" t="inlineStr">
        <is>
          <t>Todo</t>
        </is>
      </c>
      <c r="K32" s="505" t="n"/>
      <c r="L32" s="505" t="inlineStr"/>
    </row>
    <row r="33" ht="60" customHeight="1" s="408">
      <c r="A33" s="505">
        <f>IF(I33&gt;0,$B$3&amp;"_"&amp;SUBTOTAL(3,$I$9:I33),"")</f>
        <v/>
      </c>
      <c r="B33" s="505" t="inlineStr">
        <is>
          <t>Kiểm tra tìm kiếm với từ khóa không khớp đề nào hiển thị text "Không tìm thấy đề phù hợp"</t>
        </is>
      </c>
      <c r="C33" s="505" t="inlineStr">
        <is>
          <t>1. Đang mở bottom sheet Tìm đề thi</t>
        </is>
      </c>
      <c r="D33" s="505" t="inlineStr">
        <is>
          <t>1. Nhập từ khóa không trùng tên bất kỳ đề nào
2. Bấm Enter</t>
        </is>
      </c>
      <c r="E33" s="505" t="inlineStr">
        <is>
          <t>Từ khóa: zzxyzkhongtontai</t>
        </is>
      </c>
      <c r="F33" s="505" t="inlineStr">
        <is>
          <t>2. Hệ thống hiển thị text "Không tìm thấy đề phù hợp", không hiển thị danh sách kết quả</t>
        </is>
      </c>
      <c r="G33" s="505" t="inlineStr">
        <is>
          <t>Medium</t>
        </is>
      </c>
      <c r="H33" s="505" t="inlineStr">
        <is>
          <t>Function</t>
        </is>
      </c>
      <c r="I33" s="505" t="inlineStr">
        <is>
          <t>Todo</t>
        </is>
      </c>
      <c r="J33" s="505" t="inlineStr">
        <is>
          <t>Todo</t>
        </is>
      </c>
      <c r="K33" s="505" t="n"/>
      <c r="L33" s="505" t="inlineStr"/>
    </row>
    <row r="34" ht="15.75" customHeight="1" s="408">
      <c r="A34" s="505">
        <f>IF(I34&gt;0,$B$3&amp;"_"&amp;SUBTOTAL(3,$I$9:I34),"")</f>
        <v/>
      </c>
      <c r="B34" s="505" t="inlineStr">
        <is>
          <t>Kiểm tra chọn 1 dòng kết quả tìm kiếm điều hướng đến màn Thông tin đề tương ứng</t>
        </is>
      </c>
      <c r="C34" s="505" t="inlineStr">
        <is>
          <t>1. Đã tìm kiếm và có danh sách kết quả hiển thị</t>
        </is>
      </c>
      <c r="D34" s="505" t="inlineStr">
        <is>
          <t>1. Chọn vào 1 dòng kết quả bất kỳ</t>
        </is>
      </c>
      <c r="E34" s="505" t="inlineStr">
        <is>
          <t>Từ khóa: e</t>
        </is>
      </c>
      <c r="F34" s="505" t="inlineStr">
        <is>
          <t>1. Hệ thống chuyển đến màn Thông tin đề của đề vừa chọn</t>
        </is>
      </c>
      <c r="G34" s="505" t="inlineStr">
        <is>
          <t>High</t>
        </is>
      </c>
      <c r="H34" s="505" t="inlineStr">
        <is>
          <t>Function</t>
        </is>
      </c>
      <c r="I34" s="505" t="inlineStr">
        <is>
          <t>Todo</t>
        </is>
      </c>
      <c r="J34" s="505" t="inlineStr">
        <is>
          <t>Todo</t>
        </is>
      </c>
      <c r="K34" s="505" t="n"/>
      <c r="L34" s="505" t="inlineStr"/>
    </row>
    <row r="35" ht="60" customHeight="1" s="408">
      <c r="A35" s="505">
        <f>IF(I35&gt;0,$B$3&amp;"_"&amp;SUBTOTAL(3,$I$9:I35),"")</f>
        <v/>
      </c>
      <c r="B35" s="505" t="inlineStr">
        <is>
          <t>Kiểm tra phạm vi tìm kiếm là toàn bộ đề trong tab Kho đề Parrot, không bị giới hạn bởi bộ lọc Lớp/Loại kỳ thi đang áp dụng</t>
        </is>
      </c>
      <c r="C35" s="505" t="inlineStr">
        <is>
          <t>1. Bộ lọc hiện tại đang chọn Lớp 9 (không khớp 1 đề X thuộc Lớp 6)
2. Đề X đang công khai và có tên chứa từ khóa sẽ tìm</t>
        </is>
      </c>
      <c r="D35" s="505" t="inlineStr">
        <is>
          <t>1. Mở bottom sheet Tìm đề thi
2. Nhập từ khóa khớp tên đề X
3. Bấm Enter</t>
        </is>
      </c>
      <c r="E35" s="505" t="inlineStr">
        <is>
          <t>Từ khóa: tên đề X (thuộc Lớp 6)</t>
        </is>
      </c>
      <c r="F35" s="505" t="inlineStr">
        <is>
          <t>3. Kết quả tìm kiếm vẫn hiển thị đề X dù đề này không khớp bộ lọc Lớp 9 đang áp dụng ở danh sách chính</t>
        </is>
      </c>
      <c r="G35" s="505" t="inlineStr">
        <is>
          <t>Medium</t>
        </is>
      </c>
      <c r="H35" s="505" t="inlineStr">
        <is>
          <t>Function</t>
        </is>
      </c>
      <c r="I35" s="505" t="inlineStr">
        <is>
          <t>Todo</t>
        </is>
      </c>
      <c r="J35" s="505" t="inlineStr">
        <is>
          <t>Todo</t>
        </is>
      </c>
      <c r="K35" s="505" t="n"/>
      <c r="L35" s="505" t="inlineStr"/>
    </row>
    <row r="36" ht="60" customHeight="1" s="408">
      <c r="A36" s="505">
        <f>IF(I36&gt;0,$B$3&amp;"_"&amp;SUBTOTAL(3,$I$9:I36),"")</f>
        <v/>
      </c>
      <c r="B36" s="505" t="inlineStr">
        <is>
          <t>Kiểm tra nút xóa nội dung trong ô tìm kiếm</t>
        </is>
      </c>
      <c r="C36" s="505" t="inlineStr">
        <is>
          <t>1. Đang mở bottom sheet Tìm đề thi, đã nhập nội dung vào ô tìm kiếm</t>
        </is>
      </c>
      <c r="D36" s="505" t="inlineStr">
        <is>
          <t>1. Nhập "e" vào ô tìm kiếm
2. Chọn icon xóa (x) trong ô tìm kiếm</t>
        </is>
      </c>
      <c r="E36" s="505" t="inlineStr">
        <is>
          <t>Từ khóa: e</t>
        </is>
      </c>
      <c r="F36" s="505" t="inlineStr">
        <is>
          <t>2. Nội dung ô tìm kiếm được xóa hết, danh sách kết quả ẩn đi, quay về trạng thái mặc định (hiển thị text hướng dẫn)</t>
        </is>
      </c>
      <c r="G36" s="505" t="inlineStr">
        <is>
          <t>Low</t>
        </is>
      </c>
      <c r="H36" s="505" t="inlineStr">
        <is>
          <t>GUI</t>
        </is>
      </c>
      <c r="I36" s="505" t="inlineStr">
        <is>
          <t>Todo</t>
        </is>
      </c>
      <c r="J36" s="505" t="inlineStr">
        <is>
          <t>Todo</t>
        </is>
      </c>
      <c r="K36" s="505" t="n"/>
      <c r="L36" s="505" t="inlineStr"/>
    </row>
    <row r="37" ht="60" customHeight="1" s="408">
      <c r="A37" s="505">
        <f>IF(I37&gt;0,$B$3&amp;"_"&amp;SUBTOTAL(3,$I$9:I37),"")</f>
        <v/>
      </c>
      <c r="B37" s="505" t="inlineStr">
        <is>
          <t>Kiểm tra đóng bottom sheet Tìm đề thi bằng icon X ở góc phải</t>
        </is>
      </c>
      <c r="C37" s="505" t="inlineStr">
        <is>
          <t>1. Đang mở bottom sheet Tìm đề thi</t>
        </is>
      </c>
      <c r="D37" s="505" t="inlineStr">
        <is>
          <t>1. Chọn icon X ở góc trên bên phải bottom sheet</t>
        </is>
      </c>
      <c r="E37" s="505" t="inlineStr"/>
      <c r="F37" s="505" t="inlineStr">
        <is>
          <t>1. Bottom sheet đóng lại, quay về màn danh sách đề, không áp dụng tìm kiếm nào</t>
        </is>
      </c>
      <c r="G37" s="505" t="inlineStr">
        <is>
          <t>Low</t>
        </is>
      </c>
      <c r="H37" s="505" t="inlineStr">
        <is>
          <t>GUI</t>
        </is>
      </c>
      <c r="I37" s="505" t="inlineStr">
        <is>
          <t>Todo</t>
        </is>
      </c>
      <c r="J37" s="505" t="inlineStr">
        <is>
          <t>Todo</t>
        </is>
      </c>
      <c r="K37" s="505" t="n"/>
      <c r="L37" s="505" t="inlineStr"/>
    </row>
    <row r="38" ht="15.75" customHeight="1" s="408">
      <c r="A38" s="505">
        <f>IF(I38&gt;0,$B$3&amp;"_"&amp;SUBTOTAL(3,$I$9:I38),"")</f>
        <v/>
      </c>
      <c r="B38" s="505" t="inlineStr">
        <is>
          <t>Kiểm tra ô tìm kiếm không bắt buộc nhập, có thể đóng bottom sheet khi để trống</t>
        </is>
      </c>
      <c r="C38" s="505" t="inlineStr">
        <is>
          <t>1. Đang mở bottom sheet Tìm đề thi, chưa nhập gì vào ô tìm kiếm</t>
        </is>
      </c>
      <c r="D38" s="505" t="inlineStr">
        <is>
          <t>1. Chọn icon X để đóng bottom sheet mà không nhập từ khóa</t>
        </is>
      </c>
      <c r="E38" s="505" t="inlineStr"/>
      <c r="F38" s="505" t="inlineStr">
        <is>
          <t>1. Bottom sheet đóng bình thường, không hiển thị lỗi bắt buộc nhập liệu</t>
        </is>
      </c>
      <c r="G38" s="505" t="inlineStr">
        <is>
          <t>Low</t>
        </is>
      </c>
      <c r="H38" s="505" t="inlineStr">
        <is>
          <t>GUI</t>
        </is>
      </c>
      <c r="I38" s="505" t="inlineStr">
        <is>
          <t>Todo</t>
        </is>
      </c>
      <c r="J38" s="505" t="inlineStr">
        <is>
          <t>Todo</t>
        </is>
      </c>
      <c r="K38" s="505" t="n"/>
      <c r="L38" s="505" t="inlineStr"/>
    </row>
    <row r="39" ht="60" customHeight="1" s="408">
      <c r="A39" s="505">
        <f>IF(I39&gt;0,$B$3&amp;"_"&amp;SUBTOTAL(3,$I$9:I39),"")</f>
        <v/>
      </c>
      <c r="B39" s="505" t="inlineStr">
        <is>
          <t>Kiểm tra tìm kiếm với từ khóa có khoảng trắng đầu/cuối vẫn trả về đúng kết quả tương đối (hệ thống tự trim)</t>
        </is>
      </c>
      <c r="C39" s="505" t="inlineStr">
        <is>
          <t>1. Đang mở bottom sheet Tìm đề thi
2. Có đề tên chứa từ khóa "Hà Nội"</t>
        </is>
      </c>
      <c r="D39" s="505" t="inlineStr">
        <is>
          <t>1. Nhập "  Hà Nội  " (có khoảng trắng đầu/cuối) vào ô tìm kiếm
2. Bấm Enter</t>
        </is>
      </c>
      <c r="E39" s="505" t="inlineStr">
        <is>
          <t>Từ khóa: "  Hà Nội  "</t>
        </is>
      </c>
      <c r="F39" s="505" t="inlineStr">
        <is>
          <t>2. Hệ thống tự loại bỏ khoảng trắng thừa và trả về đúng danh sách các đề có tên chứa "Hà Nội"</t>
        </is>
      </c>
      <c r="G39" s="505" t="inlineStr">
        <is>
          <t>Medium</t>
        </is>
      </c>
      <c r="H39" s="505" t="inlineStr">
        <is>
          <t>Function</t>
        </is>
      </c>
      <c r="I39" s="505" t="inlineStr">
        <is>
          <t>Todo</t>
        </is>
      </c>
      <c r="J39" s="505" t="inlineStr">
        <is>
          <t>Todo</t>
        </is>
      </c>
      <c r="K39" s="505" t="n"/>
      <c r="L39" s="505" t="inlineStr"/>
    </row>
    <row r="40" ht="60" customHeight="1" s="408">
      <c r="A40" s="503" t="inlineStr">
        <is>
          <t>III. Bottom sheet Lọc đề thi</t>
        </is>
      </c>
      <c r="B40" s="418" t="n"/>
    </row>
    <row r="41" ht="60" customHeight="1" s="408">
      <c r="A41" s="504" t="inlineStr">
        <is>
          <t>1. Tab Loại kỳ thi</t>
        </is>
      </c>
      <c r="B41" s="418" t="n"/>
    </row>
    <row r="42" ht="60" customHeight="1" s="408">
      <c r="A42" s="505">
        <f>IF(I42&gt;0,$B$3&amp;"_"&amp;SUBTOTAL(3,$I$9:I42),"")</f>
        <v/>
      </c>
      <c r="B42" s="505" t="inlineStr">
        <is>
          <t>Kiểm tra mở bottom sheet Lọc đề thi mặc định vào tab "Loại kỳ thi" với lựa chọn "Tất cả kỳ thi" đang được chọn</t>
        </is>
      </c>
      <c r="C42" s="505" t="inlineStr">
        <is>
          <t>1. Đang ở tab Kho đề Parrot, chưa từng thay đổi bộ lọc Loại kỳ thi trước đó</t>
        </is>
      </c>
      <c r="D42" s="505" t="inlineStr">
        <is>
          <t>1. Chọn icon Lọc</t>
        </is>
      </c>
      <c r="E42" s="505" t="inlineStr"/>
      <c r="F42" s="505" t="inlineStr">
        <is>
          <t>1. Bottom sheet "Lọc đề thi" mở lên, mặc định active tab "Loại kỳ thi", checkbox "Tất cả kỳ thi" đang được tick chọn</t>
        </is>
      </c>
      <c r="G42" s="505" t="inlineStr">
        <is>
          <t>High</t>
        </is>
      </c>
      <c r="H42" s="505" t="inlineStr">
        <is>
          <t>GUI</t>
        </is>
      </c>
      <c r="I42" s="505" t="inlineStr">
        <is>
          <t>Todo</t>
        </is>
      </c>
      <c r="J42" s="505" t="inlineStr">
        <is>
          <t>Todo</t>
        </is>
      </c>
      <c r="K42" s="505" t="n"/>
      <c r="L42" s="505" t="inlineStr"/>
    </row>
    <row r="43" ht="60" customHeight="1" s="408">
      <c r="A43" s="505">
        <f>IF(I43&gt;0,$B$3&amp;"_"&amp;SUBTOTAL(3,$I$9:I43),"")</f>
        <v/>
      </c>
      <c r="B43" s="505" t="inlineStr">
        <is>
          <t>Kiểm tra danh sách Loại kỳ thi hiển thị đúng theo thứ tự được tạo trong CMS</t>
        </is>
      </c>
      <c r="C43" s="505" t="inlineStr">
        <is>
          <t>1. Trên CMS đã tạo các Kỳ thi theo thứ tự: Thi học kỳ, Thi vào 10, Thi đại học, IELTS, Cambridge</t>
        </is>
      </c>
      <c r="D43" s="505" t="inlineStr">
        <is>
          <t>1. Mở bottom sheet Lọc đề thi, ở tab Loại kỳ thi
2. Quan sát thứ tự danh sách checkbox</t>
        </is>
      </c>
      <c r="E43" s="505" t="inlineStr"/>
      <c r="F43" s="505" t="inlineStr">
        <is>
          <t>2. Danh sách hiển thị đúng theo thứ tự trên CMS: Thi học kỳ, Thi vào 10, Thi đại học, IELTS, Cambridge</t>
        </is>
      </c>
      <c r="G43" s="505" t="inlineStr">
        <is>
          <t>Medium</t>
        </is>
      </c>
      <c r="H43" s="505" t="inlineStr">
        <is>
          <t>Function</t>
        </is>
      </c>
      <c r="I43" s="505" t="inlineStr">
        <is>
          <t>Todo</t>
        </is>
      </c>
      <c r="J43" s="505" t="inlineStr">
        <is>
          <t>Todo</t>
        </is>
      </c>
      <c r="K43" s="505" t="n"/>
      <c r="L43" s="505" t="inlineStr"/>
    </row>
    <row r="44" ht="60" customHeight="1" s="408">
      <c r="A44" s="505">
        <f>IF(I44&gt;0,$B$3&amp;"_"&amp;SUBTOTAL(3,$I$9:I44),"")</f>
        <v/>
      </c>
      <c r="B44" s="505" t="inlineStr">
        <is>
          <t>Kiểm tra chọn 1 loại kỳ thi cụ thể sẽ tự động bỏ chọn "Tất cả kỳ thi"</t>
        </is>
      </c>
      <c r="C44" s="505" t="inlineStr">
        <is>
          <t>1. Đang mở tab Loại kỳ thi, "Tất cả kỳ thi" đang được chọn</t>
        </is>
      </c>
      <c r="D44" s="505" t="inlineStr">
        <is>
          <t>1. Chọn checkbox "Thi vào 10"</t>
        </is>
      </c>
      <c r="E44" s="505" t="inlineStr">
        <is>
          <t>Loại kỳ thi: Thi vào 10</t>
        </is>
      </c>
      <c r="F44" s="505" t="inlineStr">
        <is>
          <t>1. Checkbox "Thi vào 10" được tick chọn, checkbox "Tất cả kỳ thi" tự động bỏ tick</t>
        </is>
      </c>
      <c r="G44" s="505" t="inlineStr">
        <is>
          <t>High</t>
        </is>
      </c>
      <c r="H44" s="505" t="inlineStr">
        <is>
          <t>Function</t>
        </is>
      </c>
      <c r="I44" s="505" t="inlineStr">
        <is>
          <t>Todo</t>
        </is>
      </c>
      <c r="J44" s="505" t="inlineStr">
        <is>
          <t>Todo</t>
        </is>
      </c>
      <c r="K44" s="505" t="n"/>
      <c r="L44" s="505" t="inlineStr"/>
    </row>
    <row r="45" ht="60" customHeight="1" s="408">
      <c r="A45" s="505">
        <f>IF(I45&gt;0,$B$3&amp;"_"&amp;SUBTOTAL(3,$I$9:I45),"")</f>
        <v/>
      </c>
      <c r="B45" s="505" t="inlineStr">
        <is>
          <t>Kiểm tra chọn lại "Tất cả kỳ thi" sẽ bỏ chọn toàn bộ các loại kỳ thi cụ thể đang chọn</t>
        </is>
      </c>
      <c r="C45" s="505" t="inlineStr">
        <is>
          <t>1. Đang chọn 1 hoặc nhiều loại kỳ thi cụ thể (vd: Thi vào 10, IELTS), "Tất cả kỳ thi" đang không được chọn</t>
        </is>
      </c>
      <c r="D45" s="505" t="inlineStr">
        <is>
          <t>1. Chọn checkbox "Tất cả kỳ thi"</t>
        </is>
      </c>
      <c r="E45" s="505" t="inlineStr"/>
      <c r="F45" s="505" t="inlineStr">
        <is>
          <t>1. Checkbox "Tất cả kỳ thi" được tick chọn, toàn bộ các checkbox loại kỳ thi cụ thể đang chọn trước đó tự động bỏ tick</t>
        </is>
      </c>
      <c r="G45" s="505" t="inlineStr">
        <is>
          <t>High</t>
        </is>
      </c>
      <c r="H45" s="505" t="inlineStr">
        <is>
          <t>Function</t>
        </is>
      </c>
      <c r="I45" s="505" t="inlineStr">
        <is>
          <t>Todo</t>
        </is>
      </c>
      <c r="J45" s="505" t="inlineStr">
        <is>
          <t>Todo</t>
        </is>
      </c>
      <c r="K45" s="505" t="n"/>
      <c r="L45" s="505" t="inlineStr"/>
    </row>
    <row r="46" ht="68.65000000000001" customHeight="1" s="408">
      <c r="A46" s="505">
        <f>IF(I46&gt;0,$B$3&amp;"_"&amp;SUBTOTAL(3,$I$9:I46),"")</f>
        <v/>
      </c>
      <c r="B46" s="505" t="inlineStr">
        <is>
          <t>Kiểm tra cho phép chọn nhiều loại kỳ thi cụ thể cùng lúc</t>
        </is>
      </c>
      <c r="C46" s="505" t="inlineStr">
        <is>
          <t>1. Đang ở tab Loại kỳ thi</t>
        </is>
      </c>
      <c r="D46" s="505" t="inlineStr">
        <is>
          <t>1. Chọn checkbox "Thi vào 10"
2. Chọn thêm checkbox "IELTS"</t>
        </is>
      </c>
      <c r="E46" s="505" t="inlineStr">
        <is>
          <t>Loại kỳ thi: Thi vào 10, IELTS</t>
        </is>
      </c>
      <c r="F46" s="505" t="inlineStr">
        <is>
          <t>2. Cả 2 checkbox "Thi vào 10" và "IELTS" đều đang được tick chọn đồng thời</t>
        </is>
      </c>
      <c r="G46" s="505" t="inlineStr">
        <is>
          <t>Medium</t>
        </is>
      </c>
      <c r="H46" s="505" t="inlineStr">
        <is>
          <t>Function</t>
        </is>
      </c>
      <c r="I46" s="505" t="inlineStr">
        <is>
          <t>Todo</t>
        </is>
      </c>
      <c r="J46" s="505" t="inlineStr">
        <is>
          <t>Todo</t>
        </is>
      </c>
      <c r="K46" s="505" t="n"/>
      <c r="L46" s="505" t="inlineStr"/>
    </row>
    <row r="47" ht="68.65000000000001" customHeight="1" s="408">
      <c r="A47" s="505">
        <f>IF(I47&gt;0,$B$3&amp;"_"&amp;SUBTOTAL(3,$I$9:I47),"")</f>
        <v/>
      </c>
      <c r="B47" s="505" t="inlineStr">
        <is>
          <t>Kiểm tra bỏ tick hết các loại kỳ thi cụ thể đang chọn mà không chọn lại "Tất cả kỳ thi" thì hệ thống tự động tick lại "Tất cả kỳ thi"</t>
        </is>
      </c>
      <c r="C47" s="505" t="inlineStr">
        <is>
          <t>1. Đang chọn 1 loại kỳ thi cụ thể (vd: Thi vào 10), "Tất cả kỳ thi" đang không được chọn</t>
        </is>
      </c>
      <c r="D47" s="505" t="inlineStr">
        <is>
          <t>1. Bỏ tick checkbox "Thi vào 10" (không chọn lại bất kỳ loại kỳ thi nào khác)</t>
        </is>
      </c>
      <c r="E47" s="505" t="inlineStr"/>
      <c r="F47" s="505" t="inlineStr">
        <is>
          <t>1. Hệ thống tự động tick lại "Tất cả kỳ thi" do không được phép để trống toàn bộ lựa chọn ở tab Loại kỳ thi</t>
        </is>
      </c>
      <c r="G47" s="505" t="inlineStr">
        <is>
          <t>Medium</t>
        </is>
      </c>
      <c r="H47" s="505" t="inlineStr">
        <is>
          <t>Function</t>
        </is>
      </c>
      <c r="I47" s="505" t="inlineStr">
        <is>
          <t>Todo</t>
        </is>
      </c>
      <c r="J47" s="505" t="inlineStr">
        <is>
          <t>Todo</t>
        </is>
      </c>
      <c r="K47" s="505" t="n"/>
      <c r="L47" s="505" t="inlineStr"/>
    </row>
    <row r="48" ht="57.45" customHeight="1" s="408">
      <c r="A48" s="504" t="inlineStr">
        <is>
          <t>2. Tab Lớp</t>
        </is>
      </c>
      <c r="B48" s="418" t="n"/>
    </row>
    <row r="49" ht="57.45" customHeight="1" s="408">
      <c r="A49" s="505">
        <f>IF(I49&gt;0,$B$3&amp;"_"&amp;SUBTOTAL(3,$I$9:I49),"")</f>
        <v/>
      </c>
      <c r="B49" s="505" t="inlineStr">
        <is>
          <t>Kiểm tra lần đầu vào tab Lớp, bộ lọc tự động chọn đúng khối lớp hiện tại của profile đang hoạt động</t>
        </is>
      </c>
      <c r="C49" s="505" t="inlineStr">
        <is>
          <t>1. Profile đang hoạt động thuộc khối Lớp 9 (theo năm sinh)
2. Chưa từng thay đổi bộ lọc Lớp trước đó</t>
        </is>
      </c>
      <c r="D49" s="505" t="inlineStr">
        <is>
          <t>1. Mở bottom sheet Lọc đề thi
2. Chọn tab "Lớp"</t>
        </is>
      </c>
      <c r="E49" s="505" t="inlineStr"/>
      <c r="F49" s="505" t="inlineStr">
        <is>
          <t>2. Checkbox "Lớp 9" đang được tick chọn mặc định, các lớp khác không được chọn</t>
        </is>
      </c>
      <c r="G49" s="505" t="inlineStr">
        <is>
          <t>High</t>
        </is>
      </c>
      <c r="H49" s="505" t="inlineStr">
        <is>
          <t>Function</t>
        </is>
      </c>
      <c r="I49" s="505" t="inlineStr">
        <is>
          <t>Todo</t>
        </is>
      </c>
      <c r="J49" s="505" t="inlineStr">
        <is>
          <t>Todo</t>
        </is>
      </c>
      <c r="K49" s="505" t="n"/>
      <c r="L49" s="505" t="inlineStr"/>
    </row>
    <row r="50" ht="57.45" customHeight="1" s="408">
      <c r="A50" s="505">
        <f>IF(I50&gt;0,$B$3&amp;"_"&amp;SUBTOTAL(3,$I$9:I50),"")</f>
        <v/>
      </c>
      <c r="B50" s="505" t="inlineStr">
        <is>
          <t>Kiểm tra khối lớp mặc định được tính dựa theo năm sinh của profile, tương tự rule default khối lớp màn Vui học</t>
        </is>
      </c>
      <c r="C50" s="505" t="inlineStr">
        <is>
          <t>1. Profile có năm sinh tương ứng khối Lớp 7 theo rule tính tuổi của màn Vui học</t>
        </is>
      </c>
      <c r="D50" s="505" t="inlineStr">
        <is>
          <t>1. Mở bottom sheet Lọc đề thi
2. Chọn tab "Lớp"</t>
        </is>
      </c>
      <c r="E50" s="505" t="inlineStr">
        <is>
          <t>Năm sinh profile tương ứng Lớp 7</t>
        </is>
      </c>
      <c r="F50" s="505" t="inlineStr">
        <is>
          <t>2. Checkbox "Lớp 7" được tick chọn mặc định, khớp đúng rule default khối lớp của màn Vui học</t>
        </is>
      </c>
      <c r="G50" s="505" t="inlineStr">
        <is>
          <t>Medium</t>
        </is>
      </c>
      <c r="H50" s="505" t="inlineStr">
        <is>
          <t>Function</t>
        </is>
      </c>
      <c r="I50" s="505" t="inlineStr">
        <is>
          <t>Todo</t>
        </is>
      </c>
      <c r="J50" s="505" t="inlineStr">
        <is>
          <t>Todo</t>
        </is>
      </c>
      <c r="K50" s="505" t="n"/>
      <c r="L50" s="505" t="inlineStr"/>
    </row>
    <row r="51" ht="57.45" customHeight="1" s="408">
      <c r="A51" s="505">
        <f>IF(I51&gt;0,$B$3&amp;"_"&amp;SUBTOTAL(3,$I$9:I51),"")</f>
        <v/>
      </c>
      <c r="B51" s="505" t="inlineStr">
        <is>
          <t>Kiểm tra danh sách tab Lớp hiển thị đủ các khối lớp được dev set cứng kèm tùy chọn "Tất cả các lớp"</t>
        </is>
      </c>
      <c r="C51" s="505" t="inlineStr">
        <is>
          <t>1. Đang ở tab Lớp trong bottom sheet Lọc đề thi</t>
        </is>
      </c>
      <c r="D51" s="505" t="inlineStr">
        <is>
          <t>1. Cuộn xem toàn bộ danh sách checkbox trong tab Lớp</t>
        </is>
      </c>
      <c r="E51" s="505" t="inlineStr"/>
      <c r="F51" s="505" t="inlineStr">
        <is>
          <t>1. Danh sách hiển thị đủ: Tất cả các lớp, Lớp 3, Lớp 4, Lớp 5, Lớp 6, Lớp 7, Lớp 8, Lớp 9</t>
        </is>
      </c>
      <c r="G51" s="505" t="inlineStr">
        <is>
          <t>Low</t>
        </is>
      </c>
      <c r="H51" s="505" t="inlineStr">
        <is>
          <t>GUI</t>
        </is>
      </c>
      <c r="I51" s="505" t="inlineStr">
        <is>
          <t>Todo</t>
        </is>
      </c>
      <c r="J51" s="505" t="inlineStr">
        <is>
          <t>Todo</t>
        </is>
      </c>
      <c r="K51" s="505" t="n"/>
      <c r="L51" s="505" t="inlineStr"/>
    </row>
    <row r="52" ht="60" customHeight="1" s="408">
      <c r="A52" s="505">
        <f>IF(I52&gt;0,$B$3&amp;"_"&amp;SUBTOTAL(3,$I$9:I52),"")</f>
        <v/>
      </c>
      <c r="B52" s="505" t="inlineStr">
        <is>
          <t>Kiểm tra cho phép chọn nhiều khối lớp cùng lúc</t>
        </is>
      </c>
      <c r="C52" s="505" t="inlineStr">
        <is>
          <t>1. Đang ở tab Lớp</t>
        </is>
      </c>
      <c r="D52" s="505" t="inlineStr">
        <is>
          <t>1. Chọn checkbox "Lớp 8"
2. Chọn thêm checkbox "Lớp 9"</t>
        </is>
      </c>
      <c r="E52" s="505" t="inlineStr">
        <is>
          <t>Lớp: Lớp 8, Lớp 9</t>
        </is>
      </c>
      <c r="F52" s="505" t="inlineStr">
        <is>
          <t>2. Cả 2 checkbox "Lớp 8" và "Lớp 9" đều đang được tick chọn đồng thời</t>
        </is>
      </c>
      <c r="G52" s="505" t="inlineStr">
        <is>
          <t>Medium</t>
        </is>
      </c>
      <c r="H52" s="505" t="inlineStr">
        <is>
          <t>Function</t>
        </is>
      </c>
      <c r="I52" s="505" t="inlineStr">
        <is>
          <t>Todo</t>
        </is>
      </c>
      <c r="J52" s="505" t="inlineStr">
        <is>
          <t>Todo</t>
        </is>
      </c>
      <c r="K52" s="505" t="n"/>
      <c r="L52" s="505" t="inlineStr"/>
    </row>
    <row r="53" ht="60" customHeight="1" s="408">
      <c r="A53" s="505">
        <f>IF(I53&gt;0,$B$3&amp;"_"&amp;SUBTOTAL(3,$I$9:I53),"")</f>
        <v/>
      </c>
      <c r="B53" s="505" t="inlineStr">
        <is>
          <t>Kiểm tra chọn "Tất cả các lớp" sẽ bỏ chọn các khối lớp cụ thể đang chọn (tương tự rule tab Loại kỳ thi)</t>
        </is>
      </c>
      <c r="C53" s="505" t="inlineStr">
        <is>
          <t>1. Đang chọn 1 hoặc nhiều khối lớp cụ thể (vd: Lớp 8, Lớp 9)</t>
        </is>
      </c>
      <c r="D53" s="505" t="inlineStr">
        <is>
          <t>1. Chọn checkbox "Tất cả các lớp"</t>
        </is>
      </c>
      <c r="E53" s="505" t="inlineStr"/>
      <c r="F53" s="505" t="inlineStr">
        <is>
          <t>1. Checkbox "Tất cả các lớp" được tick chọn, các checkbox Lớp 8, Lớp 9 tự động bỏ tick</t>
        </is>
      </c>
      <c r="G53" s="505" t="inlineStr">
        <is>
          <t>Medium</t>
        </is>
      </c>
      <c r="H53" s="505" t="inlineStr">
        <is>
          <t>Function</t>
        </is>
      </c>
      <c r="I53" s="505" t="inlineStr">
        <is>
          <t>Todo</t>
        </is>
      </c>
      <c r="J53" s="505" t="inlineStr">
        <is>
          <t>Todo</t>
        </is>
      </c>
      <c r="K53" s="505" t="n"/>
      <c r="L53" s="505" t="inlineStr"/>
    </row>
    <row r="54" ht="60" customHeight="1" s="408">
      <c r="A54" s="505">
        <f>IF(I54&gt;0,$B$3&amp;"_"&amp;SUBTOTAL(3,$I$9:I54),"")</f>
        <v/>
      </c>
      <c r="B54" s="505" t="inlineStr">
        <is>
          <t>Kiểm tra tên tab "Lớp" không hiển thị số lượng giá trị đang chọn kèm theo (đã ẩn theo yêu cầu BA)</t>
        </is>
      </c>
      <c r="C54" s="505" t="inlineStr">
        <is>
          <t>1. Đang chọn 1 khối lớp cụ thể (vd: Lớp 9) trong bộ lọc</t>
        </is>
      </c>
      <c r="D54" s="505" t="inlineStr">
        <is>
          <t>1. Mở bottom sheet Lọc đề thi
2. Quan sát tiêu đề tab "Lớp"</t>
        </is>
      </c>
      <c r="E54" s="505" t="inlineStr"/>
      <c r="F54" s="505" t="inlineStr">
        <is>
          <t>2. Tiêu đề tab chỉ hiển thị "Lớp", không hiển thị số lượng giá trị đang chọn dạng "Lớp (1)" như trước đây</t>
        </is>
      </c>
      <c r="G54" s="505" t="inlineStr">
        <is>
          <t>Medium</t>
        </is>
      </c>
      <c r="H54" s="505" t="inlineStr">
        <is>
          <t>GUI</t>
        </is>
      </c>
      <c r="I54" s="505" t="inlineStr">
        <is>
          <t>Todo</t>
        </is>
      </c>
      <c r="J54" s="505" t="inlineStr">
        <is>
          <t>Todo</t>
        </is>
      </c>
      <c r="K54" s="505" t="n"/>
      <c r="L54" s="505" t="inlineStr"/>
    </row>
    <row r="55" ht="60" customHeight="1" s="408">
      <c r="A55" s="505">
        <f>IF(I55&gt;0,$B$3&amp;"_"&amp;SUBTOTAL(3,$I$9:I55),"")</f>
        <v/>
      </c>
      <c r="B55" s="505" t="inlineStr">
        <is>
          <t>Kiểm tra tên tab "Loại kỳ thi" không hiển thị số lượng giá trị đang chọn kèm theo (đã ẩn theo yêu cầu BA)</t>
        </is>
      </c>
      <c r="C55" s="505" t="inlineStr">
        <is>
          <t>1. Đang chọn nhiều hơn 1 loại kỳ thi cụ thể trong bộ lọc</t>
        </is>
      </c>
      <c r="D55" s="505" t="inlineStr">
        <is>
          <t>1. Mở bottom sheet Lọc đề thi
2. Quan sát tiêu đề tab "Loại kỳ thi"</t>
        </is>
      </c>
      <c r="E55" s="505" t="inlineStr"/>
      <c r="F55" s="505" t="inlineStr">
        <is>
          <t>2. Tiêu đề tab chỉ hiển thị "Loại kỳ thi", không hiển thị số lượng giá trị đang chọn kèm theo</t>
        </is>
      </c>
      <c r="G55" s="505" t="inlineStr">
        <is>
          <t>Medium</t>
        </is>
      </c>
      <c r="H55" s="505" t="inlineStr">
        <is>
          <t>GUI</t>
        </is>
      </c>
      <c r="I55" s="505" t="inlineStr">
        <is>
          <t>Todo</t>
        </is>
      </c>
      <c r="J55" s="505" t="inlineStr">
        <is>
          <t>Todo</t>
        </is>
      </c>
      <c r="K55" s="505" t="n"/>
      <c r="L55" s="505" t="inlineStr"/>
    </row>
    <row r="56" outlineLevel="1" ht="57.45" customHeight="1" s="408">
      <c r="A56" s="504" t="inlineStr">
        <is>
          <t>3. Áp dụng bộ lọc &amp; icon Lọc</t>
        </is>
      </c>
      <c r="B56" s="418" t="n"/>
    </row>
    <row r="57" ht="57.45" customHeight="1" s="408">
      <c r="A57" s="505">
        <f>IF(I57&gt;0,$B$3&amp;"_"&amp;SUBTOTAL(3,$I$9:I57),"")</f>
        <v/>
      </c>
      <c r="B57" s="505" t="inlineStr">
        <is>
          <t>Kiểm tra nút "Xác nhận" ở trạng thái disable khi bộ lọc đang chọn chưa có thay đổi so với bộ lọc đang áp dụng</t>
        </is>
      </c>
      <c r="C57" s="505" t="inlineStr">
        <is>
          <t>1. Vừa mở bottom sheet Lọc đề thi, chưa thay đổi bất kỳ lựa chọn nào</t>
        </is>
      </c>
      <c r="D57" s="505" t="inlineStr">
        <is>
          <t>1. Quan sát trạng thái nút "Xác nhận"</t>
        </is>
      </c>
      <c r="E57" s="505" t="inlineStr"/>
      <c r="F57" s="505" t="inlineStr">
        <is>
          <t>1. Nút "Xác nhận" ở trạng thái disable (không thể bấm)</t>
        </is>
      </c>
      <c r="G57" s="505" t="inlineStr">
        <is>
          <t>High</t>
        </is>
      </c>
      <c r="H57" s="505" t="inlineStr">
        <is>
          <t>GUI</t>
        </is>
      </c>
      <c r="I57" s="505" t="inlineStr">
        <is>
          <t>Todo</t>
        </is>
      </c>
      <c r="J57" s="505" t="inlineStr">
        <is>
          <t>Todo</t>
        </is>
      </c>
      <c r="K57" s="505" t="n"/>
      <c r="L57" s="505" t="inlineStr"/>
    </row>
    <row r="58" ht="15.75" customHeight="1" s="408">
      <c r="A58" s="505">
        <f>IF(I58&gt;0,$B$3&amp;"_"&amp;SUBTOTAL(3,$I$9:I58),"")</f>
        <v/>
      </c>
      <c r="B58" s="505" t="inlineStr">
        <is>
          <t>Kiểm tra nút "Xác nhận" chuyển sang active khi có thay đổi bộ lọc so với bộ lọc đang áp dụng</t>
        </is>
      </c>
      <c r="C58" s="505" t="inlineStr">
        <is>
          <t>1. Đang mở bottom sheet Lọc đề thi với bộ lọc mặc định</t>
        </is>
      </c>
      <c r="D58" s="505" t="inlineStr">
        <is>
          <t>1. Chọn thêm checkbox "Thi vào 10" ở tab Loại kỳ thi</t>
        </is>
      </c>
      <c r="E58" s="505" t="inlineStr">
        <is>
          <t>Loại kỳ thi: Thi vào 10</t>
        </is>
      </c>
      <c r="F58" s="505" t="inlineStr">
        <is>
          <t>1. Nút "Xác nhận" chuyển sang trạng thái active (có thể bấm)</t>
        </is>
      </c>
      <c r="G58" s="505" t="inlineStr">
        <is>
          <t>High</t>
        </is>
      </c>
      <c r="H58" s="505" t="inlineStr">
        <is>
          <t>GUI</t>
        </is>
      </c>
      <c r="I58" s="505" t="inlineStr">
        <is>
          <t>Todo</t>
        </is>
      </c>
      <c r="J58" s="505" t="inlineStr">
        <is>
          <t>Todo</t>
        </is>
      </c>
      <c r="K58" s="505" t="n"/>
      <c r="L58" s="505" t="inlineStr"/>
    </row>
    <row r="59" ht="15.75" customHeight="1" s="408">
      <c r="A59" s="505">
        <f>IF(I59&gt;0,$B$3&amp;"_"&amp;SUBTOTAL(3,$I$9:I59),"")</f>
        <v/>
      </c>
      <c r="B59" s="505" t="inlineStr">
        <is>
          <t>Kiểm tra chọn "Xác nhận" sẽ áp dụng bộ lọc mới, đóng bottom sheet và cập nhật danh sách đề + label số lượng đề</t>
        </is>
      </c>
      <c r="C59" s="505" t="inlineStr">
        <is>
          <t>1. Đang mở bottom sheet Lọc đề thi và đã thay đổi lựa chọn bộ lọc</t>
        </is>
      </c>
      <c r="D59" s="505" t="inlineStr">
        <is>
          <t>1. Chọn "Thi vào 10" ở tab Loại kỳ thi
2. Chọn "Xác nhận"</t>
        </is>
      </c>
      <c r="E59" s="505" t="inlineStr">
        <is>
          <t>Loại kỳ thi: Thi vào 10</t>
        </is>
      </c>
      <c r="F59" s="505" t="inlineStr">
        <is>
          <t>2. Bottom sheet đóng lại, danh sách đề chỉ còn hiển thị các đề thuộc Loại kỳ thi "Thi vào 10", label "N đề" cập nhật đúng số lượng mới</t>
        </is>
      </c>
      <c r="G59" s="505" t="inlineStr">
        <is>
          <t>High</t>
        </is>
      </c>
      <c r="H59" s="505" t="inlineStr">
        <is>
          <t>Function</t>
        </is>
      </c>
      <c r="I59" s="505" t="inlineStr">
        <is>
          <t>Todo</t>
        </is>
      </c>
      <c r="J59" s="505" t="inlineStr">
        <is>
          <t>Todo</t>
        </is>
      </c>
      <c r="K59" s="505" t="n"/>
      <c r="L59" s="505" t="inlineStr"/>
    </row>
    <row r="60" ht="60" customHeight="1" s="408">
      <c r="A60" s="505">
        <f>IF(I60&gt;0,$B$3&amp;"_"&amp;SUBTOTAL(3,$I$9:I60),"")</f>
        <v/>
      </c>
      <c r="B60" s="505" t="inlineStr">
        <is>
          <t>Kiểm tra chạm ra ngoài vùng bottom sheet Lọc đề thi sẽ đóng sheet và không áp dụng thay đổi</t>
        </is>
      </c>
      <c r="C60" s="505" t="inlineStr">
        <is>
          <t>1. Đang mở bottom sheet Lọc đề thi và đã thay đổi lựa chọn bộ lọc nhưng chưa bấm Xác nhận</t>
        </is>
      </c>
      <c r="D60" s="505" t="inlineStr">
        <is>
          <t>1. Chọn thêm checkbox "IELTS" ở tab Loại kỳ thi
2. Chạm vào vùng tối bên ngoài bottom sheet</t>
        </is>
      </c>
      <c r="E60" s="505" t="inlineStr">
        <is>
          <t>Loại kỳ thi: IELTS</t>
        </is>
      </c>
      <c r="F60" s="505" t="inlineStr">
        <is>
          <t>2. Bottom sheet đóng lại, bộ lọc đang áp dụng trên danh sách đề vẫn giữ nguyên như trước khi mở sheet, không áp dụng lựa chọn IELTS vừa chọn</t>
        </is>
      </c>
      <c r="G60" s="505" t="inlineStr">
        <is>
          <t>Medium</t>
        </is>
      </c>
      <c r="H60" s="505" t="inlineStr">
        <is>
          <t>Function</t>
        </is>
      </c>
      <c r="I60" s="505" t="inlineStr">
        <is>
          <t>Todo</t>
        </is>
      </c>
      <c r="J60" s="505" t="inlineStr">
        <is>
          <t>Todo</t>
        </is>
      </c>
      <c r="K60" s="505" t="n"/>
      <c r="L60" s="505" t="inlineStr"/>
    </row>
    <row r="61" ht="60" customHeight="1" s="408">
      <c r="A61" s="505">
        <f>IF(I61&gt;0,$B$3&amp;"_"&amp;SUBTOTAL(3,$I$9:I61),"")</f>
        <v/>
      </c>
      <c r="B61" s="505" t="inlineStr">
        <is>
          <t>Kiểm tra icon Lọc hiển thị badge số lượng giá trị đang chọn khi bộ lọc khác mặc định</t>
        </is>
      </c>
      <c r="C61" s="505" t="inlineStr">
        <is>
          <t>1. Đã áp dụng bộ lọc khác mặc định, ví dụ chọn 1 Loại kỳ thi cụ thể và 1 Lớp cụ thể</t>
        </is>
      </c>
      <c r="D61" s="505" t="inlineStr">
        <is>
          <t>1. Quan sát icon Lọc ở màn danh sách đề</t>
        </is>
      </c>
      <c r="E61" s="505" t="inlineStr"/>
      <c r="F61" s="505" t="inlineStr">
        <is>
          <t>1. Icon Lọc hiển thị badge số đúng bằng tổng số giá trị cụ thể đang được chọn trong bộ lọc</t>
        </is>
      </c>
      <c r="G61" s="505" t="inlineStr">
        <is>
          <t>Medium</t>
        </is>
      </c>
      <c r="H61" s="505" t="inlineStr">
        <is>
          <t>GUI</t>
        </is>
      </c>
      <c r="I61" s="505" t="inlineStr">
        <is>
          <t>Todo</t>
        </is>
      </c>
      <c r="J61" s="505" t="inlineStr">
        <is>
          <t>Todo</t>
        </is>
      </c>
      <c r="K61" s="505" t="n"/>
      <c r="L61" s="505" t="inlineStr"/>
    </row>
    <row r="62" ht="60" customHeight="1" s="408">
      <c r="A62" s="505">
        <f>IF(I62&gt;0,$B$3&amp;"_"&amp;SUBTOTAL(3,$I$9:I62),"")</f>
        <v/>
      </c>
      <c r="B62" s="505" t="inlineStr">
        <is>
          <t>Kiểm tra icon Lọc không hiển thị badge khi bộ lọc đang ở mặc định (Tất cả kỳ thi + khối lớp mặc định của profile)</t>
        </is>
      </c>
      <c r="C62" s="505" t="inlineStr">
        <is>
          <t>1. Bộ lọc hiện tại đang ở trạng thái mặc định, chưa từng thay đổi</t>
        </is>
      </c>
      <c r="D62" s="505" t="inlineStr">
        <is>
          <t>1. Quan sát icon Lọc ở màn danh sách đề</t>
        </is>
      </c>
      <c r="E62" s="505" t="inlineStr"/>
      <c r="F62" s="505" t="inlineStr">
        <is>
          <t>1. Icon Lọc không hiển thị badge số lượng</t>
        </is>
      </c>
      <c r="G62" s="505" t="inlineStr">
        <is>
          <t>Low</t>
        </is>
      </c>
      <c r="H62" s="505" t="inlineStr">
        <is>
          <t>GUI</t>
        </is>
      </c>
      <c r="I62" s="505" t="inlineStr">
        <is>
          <t>Todo</t>
        </is>
      </c>
      <c r="J62" s="505" t="inlineStr">
        <is>
          <t>Todo</t>
        </is>
      </c>
      <c r="K62" s="505" t="n"/>
      <c r="L62" s="505" t="inlineStr"/>
    </row>
    <row r="63" ht="60" customHeight="1" s="408">
      <c r="A63" s="505">
        <f>IF(I63&gt;0,$B$3&amp;"_"&amp;SUBTOTAL(3,$I$9:I63),"")</f>
        <v/>
      </c>
      <c r="B63" s="505" t="inlineStr">
        <is>
          <t>Kiểm tra áp dụng đồng thời bộ lọc Loại kỳ thi và Lớp trả về đúng danh sách đề thỏa cả 2 điều kiện</t>
        </is>
      </c>
      <c r="C63" s="505" t="inlineStr">
        <is>
          <t>1. Có đề công khai thuộc Loại kỳ thi "Thi vào 10" và Lớp 9</t>
        </is>
      </c>
      <c r="D63" s="505" t="inlineStr">
        <is>
          <t>1. Mở bottom sheet Lọc đề thi
2. Chọn "Thi vào 10" ở tab Loại kỳ thi
3. Chọn tab Lớp, chọn "Lớp 9"
4. Chọn Xác nhận</t>
        </is>
      </c>
      <c r="E63" s="505" t="inlineStr">
        <is>
          <t>Loại kỳ thi: Thi vào 10; Lớp: Lớp 9</t>
        </is>
      </c>
      <c r="F63" s="505" t="inlineStr">
        <is>
          <t>4. Danh sách đề chỉ hiển thị các đề vừa thuộc Loại kỳ thi "Thi vào 10" vừa thuộc Lớp 9</t>
        </is>
      </c>
      <c r="G63" s="505" t="inlineStr">
        <is>
          <t>Medium</t>
        </is>
      </c>
      <c r="H63" s="505" t="inlineStr">
        <is>
          <t>Function</t>
        </is>
      </c>
      <c r="I63" s="505" t="inlineStr">
        <is>
          <t>Todo</t>
        </is>
      </c>
      <c r="J63" s="505" t="inlineStr">
        <is>
          <t>Todo</t>
        </is>
      </c>
      <c r="K63" s="505" t="n"/>
      <c r="L63" s="505" t="inlineStr"/>
    </row>
    <row r="64" ht="60" customHeight="1" s="408">
      <c r="A64" s="503" t="inlineStr">
        <is>
          <t>IV. Rule hiển thị đề theo trạng thái công khai trên CMS</t>
        </is>
      </c>
      <c r="B64" s="418" t="n"/>
    </row>
    <row r="65" ht="60" customHeight="1" s="408">
      <c r="A65" s="504" t="inlineStr">
        <is>
          <t>1. Đồng bộ công khai/ẩn/xóa đề từ CMS</t>
        </is>
      </c>
      <c r="B65" s="418" t="n"/>
    </row>
    <row r="66" ht="60" customHeight="1" s="408">
      <c r="A66" s="505">
        <f>IF(I66&gt;0,$B$3&amp;"_"&amp;SUBTOTAL(3,$I$9:I66),"")</f>
        <v/>
      </c>
      <c r="B66" s="505" t="inlineStr">
        <is>
          <t>Kiểm tra đề ở trạng thái "Chưa công khai" trên CMS không hiển thị trong danh sách đề ở App</t>
        </is>
      </c>
      <c r="C66" s="505" t="inlineStr">
        <is>
          <t>1. Trên CMS có 1 đề đang ở trạng thái "Chưa công khai", khớp bộ lọc hiện tại của App</t>
        </is>
      </c>
      <c r="D66" s="505" t="inlineStr">
        <is>
          <t>1. Vào tab Kho đề Parrot trên App
2. Tìm kiếm/quan sát danh sách đề</t>
        </is>
      </c>
      <c r="E66" s="505" t="inlineStr"/>
      <c r="F66" s="505" t="inlineStr">
        <is>
          <t>2. Đề đang "Chưa công khai" không xuất hiện trong danh sách đề cũng như trong kết quả Tìm kiếm</t>
        </is>
      </c>
      <c r="G66" s="505" t="inlineStr">
        <is>
          <t>High</t>
        </is>
      </c>
      <c r="H66" s="505" t="inlineStr">
        <is>
          <t>Function</t>
        </is>
      </c>
      <c r="I66" s="505" t="inlineStr">
        <is>
          <t>Todo</t>
        </is>
      </c>
      <c r="J66" s="505" t="inlineStr">
        <is>
          <t>Todo</t>
        </is>
      </c>
      <c r="K66" s="505" t="n"/>
      <c r="L66" s="505" t="inlineStr"/>
    </row>
    <row r="67" ht="60" customHeight="1" s="408">
      <c r="A67" s="505">
        <f>IF(I67&gt;0,$B$3&amp;"_"&amp;SUBTOTAL(3,$I$9:I67),"")</f>
        <v/>
      </c>
      <c r="B67" s="505" t="inlineStr">
        <is>
          <t>Kiểm tra đề đang làm dở bị chuyển sang "Chưa công khai" trên CMS vẫn cho phép học sinh tiếp tục làm và xem kết quả</t>
        </is>
      </c>
      <c r="C67" s="505" t="inlineStr">
        <is>
          <t>1. Học sinh đang có 1 phiên làm dở của đề X
2. Đề X vừa bị chuyển sang "Chưa công khai" trên CMS trong lúc đang làm dở</t>
        </is>
      </c>
      <c r="D67" s="505" t="inlineStr">
        <is>
          <t>1. Học sinh tiếp tục làm hết các câu còn lại của đề X
2. Nộp bài</t>
        </is>
      </c>
      <c r="E67" s="505" t="inlineStr"/>
      <c r="F67" s="505" t="inlineStr">
        <is>
          <t>2. Học sinh vẫn nộp bài và xem được màn Kết quả bình thường dù đề X đã bị ẩn trên CMS</t>
        </is>
      </c>
      <c r="G67" s="505" t="inlineStr">
        <is>
          <t>High</t>
        </is>
      </c>
      <c r="H67" s="505" t="inlineStr">
        <is>
          <t>Function</t>
        </is>
      </c>
      <c r="I67" s="505" t="inlineStr">
        <is>
          <t>Todo</t>
        </is>
      </c>
      <c r="J67" s="505" t="inlineStr">
        <is>
          <t>Todo</t>
        </is>
      </c>
      <c r="K67" s="505" t="n"/>
      <c r="L67" s="505" t="inlineStr"/>
    </row>
    <row r="68" outlineLevel="1" ht="57.45" customHeight="1" s="408">
      <c r="A68" s="505">
        <f>IF(I68&gt;0,$B$3&amp;"_"&amp;SUBTOTAL(3,$I$9:I68),"")</f>
        <v/>
      </c>
      <c r="B68" s="505" t="inlineStr">
        <is>
          <t>Kiểm tra đề đã bị ẩn trên CMS (ở case đang làm dở) không còn hiển thị lại ở màn danh sách sau khi đã hoàn thành</t>
        </is>
      </c>
      <c r="C68" s="505" t="inlineStr">
        <is>
          <t>1. Đề X đã bị ẩn trên CMS trong lúc học sinh đang làm dở
2. Học sinh đã nộp bài hoàn tất đề X</t>
        </is>
      </c>
      <c r="D68" s="505" t="inlineStr">
        <is>
          <t>1. Quay lại tab Kho đề Parrot
2. Quan sát danh sách đề</t>
        </is>
      </c>
      <c r="E68" s="505" t="inlineStr"/>
      <c r="F68" s="505" t="inlineStr">
        <is>
          <t>2. Đề X không còn hiển thị lại trong danh sách đề, kể cả khi lọc theo đúng Loại kỳ thi/Lớp của đề X</t>
        </is>
      </c>
      <c r="G68" s="505" t="inlineStr">
        <is>
          <t>Medium</t>
        </is>
      </c>
      <c r="H68" s="505" t="inlineStr">
        <is>
          <t>Function</t>
        </is>
      </c>
      <c r="I68" s="505" t="inlineStr">
        <is>
          <t>Todo</t>
        </is>
      </c>
      <c r="J68" s="505" t="inlineStr">
        <is>
          <t>Todo</t>
        </is>
      </c>
      <c r="K68" s="505" t="n"/>
      <c r="L68" s="505" t="inlineStr"/>
    </row>
    <row r="69" outlineLevel="1" ht="57.45" customHeight="1" s="408">
      <c r="A69" s="505">
        <f>IF(I69&gt;0,$B$3&amp;"_"&amp;SUBTOTAL(3,$I$9:I69),"")</f>
        <v/>
      </c>
      <c r="B69" s="505" t="inlineStr">
        <is>
          <t>Kiểm tra xóa đề trên CMS sẽ xóa toàn bộ hiển thị phía học sinh, bao gồm cả lịch sử làm bài đã có trước đó</t>
        </is>
      </c>
      <c r="C69" s="505" t="inlineStr">
        <is>
          <t>1. Đề X đã công khai và học sinh đã có lịch sử làm bài (đã hoàn thành) với đề X
2. Đề X vừa bị xóa hẳn trên CMS</t>
        </is>
      </c>
      <c r="D69" s="505" t="inlineStr">
        <is>
          <t>1. Vào tab Kho đề Parrot
2. Tìm kiếm tên đề X
3. Kiểm tra mục lịch sử/Kết quả đã làm liên quan đề X (nếu có màn riêng)</t>
        </is>
      </c>
      <c r="E69" s="505" t="inlineStr">
        <is>
          <t>Từ khóa: tên đề X</t>
        </is>
      </c>
      <c r="F69" s="505" t="inlineStr">
        <is>
          <t>3. Đề X không còn xuất hiện ở danh sách, không có trong kết quả tìm kiếm, và không còn lịch sử làm bài liên quan đề X</t>
        </is>
      </c>
      <c r="G69" s="505" t="inlineStr">
        <is>
          <t>High</t>
        </is>
      </c>
      <c r="H69" s="505" t="inlineStr">
        <is>
          <t>Function</t>
        </is>
      </c>
      <c r="I69" s="505" t="inlineStr">
        <is>
          <t>Todo</t>
        </is>
      </c>
      <c r="J69" s="505" t="inlineStr">
        <is>
          <t>Todo</t>
        </is>
      </c>
      <c r="K69" s="505" t="n"/>
      <c r="L69" s="505" t="inlineStr"/>
    </row>
    <row r="70" ht="15.75" customHeight="1" s="408">
      <c r="A70" s="503" t="inlineStr">
        <is>
          <t>V. Rule phân quyền truy cập theo gói tài khoản (Free/Pro/Dùng thử)</t>
        </is>
      </c>
      <c r="B70" s="418" t="n"/>
    </row>
    <row r="71" ht="60" customHeight="1" s="408">
      <c r="A71" s="504" t="inlineStr">
        <is>
          <t>1. Quyền truy cập đề Free và đề Pro</t>
        </is>
      </c>
      <c r="B71" s="418" t="n"/>
    </row>
    <row r="72" ht="60" customHeight="1" s="408">
      <c r="A72" s="505">
        <f>IF(I72&gt;0,$B$3&amp;"_"&amp;SUBTOTAL(3,$I$9:I72),"")</f>
        <v/>
      </c>
      <c r="B72" s="505" t="inlineStr">
        <is>
          <t>Kiểm tra tài khoản Free làm được đề Free bình thường</t>
        </is>
      </c>
      <c r="C72" s="505" t="inlineStr">
        <is>
          <t>1. Tài khoản đang đăng nhập ở gói Free
2. Có đề Free đang công khai</t>
        </is>
      </c>
      <c r="D72" s="505" t="inlineStr">
        <is>
          <t>1. Chọn vào đề Free
2. Chọn "Bắt đầu làm bài"
3. Làm và nộp bài</t>
        </is>
      </c>
      <c r="E72" s="505" t="inlineStr"/>
      <c r="F72" s="505" t="inlineStr">
        <is>
          <t>3. Tài khoản Free làm bài và nộp bài thành công, xem được Kết quả bình thường</t>
        </is>
      </c>
      <c r="G72" s="505" t="inlineStr">
        <is>
          <t>High</t>
        </is>
      </c>
      <c r="H72" s="505" t="inlineStr">
        <is>
          <t>Function</t>
        </is>
      </c>
      <c r="I72" s="505" t="inlineStr">
        <is>
          <t>Todo</t>
        </is>
      </c>
      <c r="J72" s="505" t="inlineStr">
        <is>
          <t>Todo</t>
        </is>
      </c>
      <c r="K72" s="505" t="n"/>
      <c r="L72" s="505" t="inlineStr"/>
    </row>
    <row r="73" ht="60" customHeight="1" s="408">
      <c r="A73" s="505">
        <f>IF(I73&gt;0,$B$3&amp;"_"&amp;SUBTOTAL(3,$I$9:I73),"")</f>
        <v/>
      </c>
      <c r="B73" s="505" t="inlineStr">
        <is>
          <t>Kiểm tra tài khoản Free bị chặn tính năng "Làm lại" đối với đề Free</t>
        </is>
      </c>
      <c r="C73" s="505" t="inlineStr">
        <is>
          <t>1. Tài khoản Free đã hoàn thành 1 đề Free</t>
        </is>
      </c>
      <c r="D73" s="505" t="inlineStr">
        <is>
          <t>1. Vào màn Kết quả/Thông tin đề của đề Free đã làm
2. Chọn "Làm lại"</t>
        </is>
      </c>
      <c r="E73" s="505" t="inlineStr"/>
      <c r="F73" s="505" t="inlineStr">
        <is>
          <t>2. Hệ thống chặn không cho làm lại, hiển thị thông báo/bottom sheet yêu cầu nâng cấp gói hoặc ẩn nút Làm lại</t>
        </is>
      </c>
      <c r="G73" s="505" t="inlineStr">
        <is>
          <t>High</t>
        </is>
      </c>
      <c r="H73" s="505" t="inlineStr">
        <is>
          <t>Function</t>
        </is>
      </c>
      <c r="I73" s="505" t="inlineStr">
        <is>
          <t>Todo</t>
        </is>
      </c>
      <c r="J73" s="505" t="inlineStr">
        <is>
          <t>Todo</t>
        </is>
      </c>
      <c r="K73" s="505" t="n"/>
      <c r="L73" s="505" t="inlineStr"/>
    </row>
    <row r="74" ht="60" customHeight="1" s="408">
      <c r="A74" s="505">
        <f>IF(I74&gt;0,$B$3&amp;"_"&amp;SUBTOTAL(3,$I$9:I74),"")</f>
        <v/>
      </c>
      <c r="B74" s="505" t="inlineStr">
        <is>
          <t>Kiểm tra tài khoản Free bị chặn yêu cầu AI giải thích/dịch đối với đề Free</t>
        </is>
      </c>
      <c r="C74" s="505" t="inlineStr">
        <is>
          <t>1. Tài khoản Free đã hoàn thành 1 đề Free và đang xem đáp án</t>
        </is>
      </c>
      <c r="D74" s="505" t="inlineStr">
        <is>
          <t>1. Vào màn Kết quả/đáp án của đề Free
2. Chọn yêu cầu AI giải thích hoặc Dịch cho 1 câu bất kỳ</t>
        </is>
      </c>
      <c r="E74" s="505" t="inlineStr"/>
      <c r="F74" s="505" t="inlineStr">
        <is>
          <t>2. Hệ thống chặn tính năng AI giải thích/dịch, hiển thị bottom sheet yêu cầu nâng cấp gói</t>
        </is>
      </c>
      <c r="G74" s="505" t="inlineStr">
        <is>
          <t>High</t>
        </is>
      </c>
      <c r="H74" s="505" t="inlineStr">
        <is>
          <t>Function</t>
        </is>
      </c>
      <c r="I74" s="505" t="inlineStr">
        <is>
          <t>Todo</t>
        </is>
      </c>
      <c r="J74" s="505" t="inlineStr">
        <is>
          <t>Todo</t>
        </is>
      </c>
      <c r="K74" s="505" t="n"/>
      <c r="L74" s="505" t="inlineStr"/>
    </row>
    <row r="75" ht="60" customHeight="1" s="408">
      <c r="A75" s="505">
        <f>IF(I75&gt;0,$B$3&amp;"_"&amp;SUBTOTAL(3,$I$9:I75),"")</f>
        <v/>
      </c>
      <c r="B75" s="505" t="inlineStr">
        <is>
          <t>Kiểm tra tài khoản Free vẫn xem được màn Thông tin đề của đề Pro</t>
        </is>
      </c>
      <c r="C75" s="505" t="inlineStr">
        <is>
          <t>1. Tài khoản đang đăng nhập ở gói Free
2. Có đề Pro đang công khai</t>
        </is>
      </c>
      <c r="D75" s="505" t="inlineStr">
        <is>
          <t>1. Chọn vào card đề Pro</t>
        </is>
      </c>
      <c r="E75" s="505" t="inlineStr"/>
      <c r="F75" s="505" t="inlineStr">
        <is>
          <t>1. Hệ thống điều hướng đến màn Thông tin đề, hiển thị đầy đủ thông tin đề Pro bình thường</t>
        </is>
      </c>
      <c r="G75" s="505" t="inlineStr">
        <is>
          <t>Medium</t>
        </is>
      </c>
      <c r="H75" s="505" t="inlineStr">
        <is>
          <t>Function</t>
        </is>
      </c>
      <c r="I75" s="505" t="inlineStr">
        <is>
          <t>Todo</t>
        </is>
      </c>
      <c r="J75" s="505" t="inlineStr">
        <is>
          <t>Todo</t>
        </is>
      </c>
      <c r="K75" s="505" t="n"/>
      <c r="L75" s="505" t="inlineStr"/>
    </row>
    <row r="76" ht="60" customHeight="1" s="408">
      <c r="A76" s="505">
        <f>IF(I76&gt;0,$B$3&amp;"_"&amp;SUBTOTAL(3,$I$9:I76),"")</f>
        <v/>
      </c>
      <c r="B76" s="505" t="inlineStr">
        <is>
          <t>Kiểm tra tài khoản Free bấm "Bắt đầu làm bài" ở đề Pro sẽ hiển thị bottom sheet nâng cấp gói, không vào làm bài</t>
        </is>
      </c>
      <c r="C76" s="505" t="inlineStr">
        <is>
          <t>1. Tài khoản Free đang ở màn Thông tin đề của 1 đề Pro</t>
        </is>
      </c>
      <c r="D76" s="505" t="inlineStr">
        <is>
          <t>1. Chọn nút "Bắt đầu làm bài"</t>
        </is>
      </c>
      <c r="E76" s="505" t="inlineStr"/>
      <c r="F76" s="505" t="inlineStr">
        <is>
          <t>1. Hệ thống hiển thị bottom sheet mời nâng cấp gói Pro, không chuyển vào màn làm bài</t>
        </is>
      </c>
      <c r="G76" s="505" t="inlineStr">
        <is>
          <t>High</t>
        </is>
      </c>
      <c r="H76" s="505" t="inlineStr">
        <is>
          <t>Function</t>
        </is>
      </c>
      <c r="I76" s="505" t="inlineStr">
        <is>
          <t>Todo</t>
        </is>
      </c>
      <c r="J76" s="505" t="inlineStr">
        <is>
          <t>Todo</t>
        </is>
      </c>
      <c r="K76" s="505" t="n"/>
      <c r="L76" s="505" t="inlineStr"/>
    </row>
    <row r="77" ht="60" customHeight="1" s="408">
      <c r="A77" s="505">
        <f>IF(I77&gt;0,$B$3&amp;"_"&amp;SUBTOTAL(3,$I$9:I77),"")</f>
        <v/>
      </c>
      <c r="B77" s="505" t="inlineStr">
        <is>
          <t>Kiểm tra tài khoản Pro làm đề Pro và sử dụng không giới hạn tính năng Làm lại, AI giải thích/dịch</t>
        </is>
      </c>
      <c r="C77" s="505" t="inlineStr">
        <is>
          <t>1. Tài khoản đang đăng nhập ở gói Pro
2. Có đề Pro đang công khai</t>
        </is>
      </c>
      <c r="D77" s="505" t="inlineStr">
        <is>
          <t>1. Làm và nộp bài đề Pro
2. Chọn "Làm lại"
3. Ở lần làm khác, chọn yêu cầu AI giải thích cho 1 câu</t>
        </is>
      </c>
      <c r="E77" s="505" t="inlineStr"/>
      <c r="F77" s="505" t="inlineStr">
        <is>
          <t>2. Tài khoản Pro làm lại được đề Pro không giới hạn
3. Tài khoản Pro sử dụng được tính năng AI giải thích bình thường</t>
        </is>
      </c>
      <c r="G77" s="505" t="inlineStr">
        <is>
          <t>High</t>
        </is>
      </c>
      <c r="H77" s="505" t="inlineStr">
        <is>
          <t>Function</t>
        </is>
      </c>
      <c r="I77" s="505" t="inlineStr">
        <is>
          <t>Todo</t>
        </is>
      </c>
      <c r="J77" s="505" t="inlineStr">
        <is>
          <t>Todo</t>
        </is>
      </c>
      <c r="K77" s="505" t="n"/>
      <c r="L77" s="505" t="inlineStr"/>
    </row>
    <row r="78" outlineLevel="1" ht="57.45" customHeight="1" s="408">
      <c r="A78" s="505">
        <f>IF(I78&gt;0,$B$3&amp;"_"&amp;SUBTOTAL(3,$I$9:I78),"")</f>
        <v/>
      </c>
      <c r="B78" s="505" t="inlineStr">
        <is>
          <t>Kiểm tra tài khoản Dùng thử (Trial) có quyền làm đề Pro tương đương tài khoản Pro</t>
        </is>
      </c>
      <c r="C78" s="505" t="inlineStr">
        <is>
          <t>1. Tài khoản đang đăng nhập ở gói Dùng thử (Trial) còn hạn
2. Có đề Pro đang công khai</t>
        </is>
      </c>
      <c r="D78" s="505" t="inlineStr">
        <is>
          <t>1. Chọn "Bắt đầu làm bài" ở đề Pro
2. Làm và nộp bài
3. Chọn "Làm lại"</t>
        </is>
      </c>
      <c r="E78" s="505" t="inlineStr"/>
      <c r="F78" s="505" t="inlineStr">
        <is>
          <t>1. Tài khoản Dùng thử vào làm bài đề Pro bình thường, không bị chặn
3. Làm lại được không giới hạn như tài khoản Pro</t>
        </is>
      </c>
      <c r="G78" s="505" t="inlineStr">
        <is>
          <t>High</t>
        </is>
      </c>
      <c r="H78" s="505" t="inlineStr">
        <is>
          <t>Function</t>
        </is>
      </c>
      <c r="I78" s="505" t="inlineStr">
        <is>
          <t>Todo</t>
        </is>
      </c>
      <c r="J78" s="505" t="inlineStr">
        <is>
          <t>Todo</t>
        </is>
      </c>
      <c r="K78" s="505" t="n"/>
      <c r="L78" s="505" t="inlineStr"/>
    </row>
    <row r="79" outlineLevel="1" ht="57.45" customHeight="1" s="408">
      <c r="A79" s="505">
        <f>IF(I79&gt;0,$B$3&amp;"_"&amp;SUBTOTAL(3,$I$9:I79),"")</f>
        <v/>
      </c>
      <c r="B79" s="505" t="inlineStr">
        <is>
          <t>Kiểm tra tài khoản đã hết hạn Pro/Dùng thử sau khi đã làm đề Pro vẫn xem được Kết quả và đáp án đúng/sai của đề đó</t>
        </is>
      </c>
      <c r="C79" s="505" t="inlineStr">
        <is>
          <t>1. Tài khoản đã làm và hoàn thành 1 đề Pro trong lúc còn hạn Pro/Dùng thử
2. Tài khoản hiện đã hết hạn Pro/Dùng thử, về lại gói Free</t>
        </is>
      </c>
      <c r="D79" s="505" t="inlineStr">
        <is>
          <t>1. Vào lại đề Pro đã làm trước đó
2. Xem màn Kết quả và đáp án đúng/sai</t>
        </is>
      </c>
      <c r="E79" s="505" t="inlineStr"/>
      <c r="F79" s="505" t="inlineStr">
        <is>
          <t>2. Tài khoản vẫn xem được điểm số, Kết quả và đáp án đúng/sai của đề Pro đã làm trước đó bình thường</t>
        </is>
      </c>
      <c r="G79" s="505" t="inlineStr">
        <is>
          <t>High</t>
        </is>
      </c>
      <c r="H79" s="505" t="inlineStr">
        <is>
          <t>Function</t>
        </is>
      </c>
      <c r="I79" s="505" t="inlineStr">
        <is>
          <t>Todo</t>
        </is>
      </c>
      <c r="J79" s="505" t="inlineStr">
        <is>
          <t>Todo</t>
        </is>
      </c>
      <c r="K79" s="505" t="n"/>
      <c r="L79" s="505" t="inlineStr"/>
    </row>
    <row r="80" ht="15.75" customHeight="1" s="408">
      <c r="A80" s="505">
        <f>IF(I80&gt;0,$B$3&amp;"_"&amp;SUBTOTAL(3,$I$9:I80),"")</f>
        <v/>
      </c>
      <c r="B80" s="505" t="inlineStr">
        <is>
          <t>Kiểm tra tài khoản đã hết hạn Pro/Dùng thử không còn sử dụng được AI giải thích trên đề Pro đã làm trước đó</t>
        </is>
      </c>
      <c r="C80" s="505" t="inlineStr">
        <is>
          <t>1. Tài khoản đã hoàn thành đề Pro khi còn hạn Pro/Dùng thử, hiện đã hết hạn</t>
        </is>
      </c>
      <c r="D80" s="505" t="inlineStr">
        <is>
          <t>1. Vào lại màn Kết quả/đáp án của đề Pro đã làm
2. Chọn yêu cầu AI giải thích cho 1 câu</t>
        </is>
      </c>
      <c r="E80" s="505" t="inlineStr"/>
      <c r="F80" s="505" t="inlineStr">
        <is>
          <t>2. Hệ thống chặn tính năng AI giải thích, hiển thị bottom sheet yêu cầu nâng cấp gói</t>
        </is>
      </c>
      <c r="G80" s="505" t="inlineStr">
        <is>
          <t>Medium</t>
        </is>
      </c>
      <c r="H80" s="505" t="inlineStr">
        <is>
          <t>Function</t>
        </is>
      </c>
      <c r="I80" s="505" t="inlineStr">
        <is>
          <t>Todo</t>
        </is>
      </c>
      <c r="J80" s="505" t="inlineStr">
        <is>
          <t>Todo</t>
        </is>
      </c>
      <c r="K80" s="505" t="n"/>
      <c r="L80" s="505" t="inlineStr"/>
    </row>
    <row r="81" ht="60" customHeight="1" s="408">
      <c r="A81" s="505">
        <f>IF(I81&gt;0,$B$3&amp;"_"&amp;SUBTOTAL(3,$I$9:I81),"")</f>
        <v/>
      </c>
      <c r="B81" s="505" t="inlineStr">
        <is>
          <t>Kiểm tra tài khoản đã hết hạn Pro/Dùng thử không còn sử dụng được nút "Làm lại" trên đề Pro đã làm trước đó</t>
        </is>
      </c>
      <c r="C81" s="505" t="inlineStr">
        <is>
          <t>1. Tài khoản đã hoàn thành đề Pro khi còn hạn Pro/Dùng thử, hiện đã hết hạn</t>
        </is>
      </c>
      <c r="D81" s="505" t="inlineStr">
        <is>
          <t>1. Vào lại màn Kết quả/Thông tin đề của đề Pro đã làm
2. Chọn "Làm lại"</t>
        </is>
      </c>
      <c r="E81" s="505" t="inlineStr"/>
      <c r="F81" s="505" t="inlineStr">
        <is>
          <t>2. Hệ thống chặn không cho làm lại, hiển thị bottom sheet yêu cầu nâng cấp gói</t>
        </is>
      </c>
      <c r="G81" s="505" t="inlineStr">
        <is>
          <t>Medium</t>
        </is>
      </c>
      <c r="H81" s="505" t="inlineStr">
        <is>
          <t>Function</t>
        </is>
      </c>
      <c r="I81" s="505" t="inlineStr">
        <is>
          <t>Todo</t>
        </is>
      </c>
      <c r="J81" s="505" t="inlineStr">
        <is>
          <t>Todo</t>
        </is>
      </c>
      <c r="K81" s="505" t="n"/>
      <c r="L81" s="505" t="inlineStr"/>
    </row>
    <row r="82" ht="60" customHeight="1" s="408">
      <c r="A82" s="503" t="inlineStr">
        <is>
          <t>VI. Rule trạng thái đề (Đang làm dở / Đã hoàn thành / Tự động nộp)</t>
        </is>
      </c>
      <c r="B82" s="418" t="n"/>
    </row>
    <row r="83" ht="60" customHeight="1" s="408">
      <c r="A83" s="504" t="inlineStr">
        <is>
          <t>1. Chuyển đổi trạng thái đề</t>
        </is>
      </c>
      <c r="B83" s="418" t="n"/>
    </row>
    <row r="84" ht="15.75" customHeight="1" s="408">
      <c r="A84" s="505">
        <f>IF(I84&gt;0,$B$3&amp;"_"&amp;SUBTOTAL(3,$I$9:I84),"")</f>
        <v/>
      </c>
      <c r="B84" s="505" t="inlineStr">
        <is>
          <t>Kiểm tra đề đã hoàn thành và không có phiên làm dở nào hiển thị đúng trạng thái "Đã hoàn thành"</t>
        </is>
      </c>
      <c r="C84" s="505" t="inlineStr">
        <is>
          <t>1. Đề X đã được nộp bài hoàn chỉnh, không còn phiên làm dở nào khác đang mở</t>
        </is>
      </c>
      <c r="D84" s="505" t="inlineStr">
        <is>
          <t>1. Vào tab Kho đề Parrot
2. Quan sát card đề X</t>
        </is>
      </c>
      <c r="E84" s="505" t="inlineStr"/>
      <c r="F84" s="505" t="inlineStr">
        <is>
          <t>2. Card đề X hiển thị trạng thái "Đã hoàn thành"</t>
        </is>
      </c>
      <c r="G84" s="505" t="inlineStr">
        <is>
          <t>High</t>
        </is>
      </c>
      <c r="H84" s="505" t="inlineStr">
        <is>
          <t>Function</t>
        </is>
      </c>
      <c r="I84" s="505" t="inlineStr">
        <is>
          <t>Todo</t>
        </is>
      </c>
      <c r="J84" s="505" t="inlineStr">
        <is>
          <t>Todo</t>
        </is>
      </c>
      <c r="K84" s="505" t="n"/>
      <c r="L84" s="505" t="inlineStr"/>
    </row>
    <row r="85" ht="60" customHeight="1" s="408">
      <c r="A85" s="505">
        <f>IF(I85&gt;0,$B$3&amp;"_"&amp;SUBTOTAL(3,$I$9:I85),"")</f>
        <v/>
      </c>
      <c r="B85" s="505" t="inlineStr">
        <is>
          <t>Kiểm tra đề đã từng hoàn thành nhưng đang có phiên làm lại dang dở hiển thị trạng thái "Đang làm dở" thay vì "Đã hoàn thành"</t>
        </is>
      </c>
      <c r="C85" s="505" t="inlineStr">
        <is>
          <t>1. Đề X đã từng được hoàn thành trước đó
2. Học sinh vừa bấm "Làm lại" và đang làm dở phiên mới (chưa nộp, còn thời gian)</t>
        </is>
      </c>
      <c r="D85" s="505" t="inlineStr">
        <is>
          <t>1. Vào tab Kho đề Parrot
2. Quan sát card đề X</t>
        </is>
      </c>
      <c r="E85" s="505" t="inlineStr"/>
      <c r="F85" s="505" t="inlineStr">
        <is>
          <t>2. Card đề X hiển thị trạng thái "Đang làm dở", không còn hiển thị "Đã hoàn thành"</t>
        </is>
      </c>
      <c r="G85" s="505" t="inlineStr">
        <is>
          <t>High</t>
        </is>
      </c>
      <c r="H85" s="505" t="inlineStr">
        <is>
          <t>Function</t>
        </is>
      </c>
      <c r="I85" s="505" t="inlineStr">
        <is>
          <t>Todo</t>
        </is>
      </c>
      <c r="J85" s="505" t="inlineStr">
        <is>
          <t>Todo</t>
        </is>
      </c>
      <c r="K85" s="505" t="n"/>
      <c r="L85" s="505" t="inlineStr"/>
    </row>
    <row r="86" ht="60" customHeight="1" s="408">
      <c r="A86" s="505">
        <f>IF(I86&gt;0,$B$3&amp;"_"&amp;SUBTOTAL(3,$I$9:I86),"")</f>
        <v/>
      </c>
      <c r="B86" s="505" t="inlineStr">
        <is>
          <t>Kiểm tra hệ thống tự động nộp bài khi đề đang làm dở hết thời gian làm bài</t>
        </is>
      </c>
      <c r="C86" s="505" t="inlineStr">
        <is>
          <t>1. Học sinh đang làm dở đề X, thời gian đếm ngược sắp hết</t>
        </is>
      </c>
      <c r="D86" s="505" t="inlineStr">
        <is>
          <t>1. Chờ đến khi thời gian đếm ngược về 0 mà không chủ động nộp bài</t>
        </is>
      </c>
      <c r="E86" s="505" t="inlineStr"/>
      <c r="F86" s="505" t="inlineStr">
        <is>
          <t>1. Hệ thống tự động nộp bài với các câu đã trả lời tại thời điểm hết giờ và chuyển sang màn Kết quả</t>
        </is>
      </c>
      <c r="G86" s="505" t="inlineStr">
        <is>
          <t>Medium</t>
        </is>
      </c>
      <c r="H86" s="505" t="inlineStr">
        <is>
          <t>Function</t>
        </is>
      </c>
      <c r="I86" s="505" t="inlineStr">
        <is>
          <t>Todo</t>
        </is>
      </c>
      <c r="J86" s="505" t="inlineStr">
        <is>
          <t>Todo</t>
        </is>
      </c>
      <c r="K86" s="505" t="n"/>
      <c r="L86" s="505" t="inlineStr"/>
    </row>
    <row r="87" ht="15" customHeight="1" s="408">
      <c r="A87" s="505">
        <f>IF(I87&gt;0,$B$3&amp;"_"&amp;SUBTOTAL(3,$I$9:I87),"")</f>
        <v/>
      </c>
      <c r="B87" s="505" t="inlineStr">
        <is>
          <t>Kiểm tra trạng thái đề chuyển thành "Đã hoàn thành" khi tải lại màn danh sách sau khi hệ thống tự động nộp bài do hết giờ</t>
        </is>
      </c>
      <c r="C87" s="505" t="inlineStr">
        <is>
          <t>1. Đề X vừa được hệ thống tự động nộp bài do hết thời gian đếm ngược</t>
        </is>
      </c>
      <c r="D87" s="505" t="inlineStr">
        <is>
          <t>1. Quay lại tab Kho đề Parrot (tải lại danh sách)
2. Quan sát card đề X</t>
        </is>
      </c>
      <c r="E87" s="505" t="inlineStr"/>
      <c r="F87" s="505" t="inlineStr">
        <is>
          <t>2. Card đề X hiển thị trạng thái "Đã hoàn thành", không còn ở trạng thái "Đang làm dở"</t>
        </is>
      </c>
      <c r="G87" s="505" t="inlineStr">
        <is>
          <t>High</t>
        </is>
      </c>
      <c r="H87" s="505" t="inlineStr">
        <is>
          <t>Function</t>
        </is>
      </c>
      <c r="I87" s="505" t="inlineStr">
        <is>
          <t>Todo</t>
        </is>
      </c>
      <c r="J87" s="505" t="inlineStr">
        <is>
          <t>Todo</t>
        </is>
      </c>
      <c r="K87" s="505" t="n"/>
      <c r="L87" s="505" t="inlineStr"/>
    </row>
    <row r="88" ht="68.65000000000001" customHeight="1" s="408">
      <c r="A88" s="505">
        <f>IF(I88&gt;0,$B$3&amp;"_"&amp;SUBTOTAL(3,$I$9:I88),"")</f>
        <v/>
      </c>
      <c r="B88" s="505" t="inlineStr">
        <is>
          <t>Kiểm tra card "Tiếp tục bài đang làm dở" tự động biến mất sau khi đề tương ứng đã được hệ thống tự động nộp bài do hết giờ</t>
        </is>
      </c>
      <c r="C88" s="505" t="inlineStr">
        <is>
          <t>1. Đề X (đang hiển thị ở card "Tiếp tục bài đang làm dở") vừa bị hệ thống tự động nộp do hết giờ</t>
        </is>
      </c>
      <c r="D88" s="505" t="inlineStr">
        <is>
          <t>1. Quay lại tab Kho đề Parrot (tải lại danh sách)
2. Quan sát đầu danh sách</t>
        </is>
      </c>
      <c r="E88" s="505" t="inlineStr"/>
      <c r="F88" s="505" t="inlineStr">
        <is>
          <t>2. Card "Tiếp tục bài đang làm dở" không còn hiển thị (trừ khi có đề khác đang làm dở)</t>
        </is>
      </c>
      <c r="G88" s="505" t="inlineStr">
        <is>
          <t>Medium</t>
        </is>
      </c>
      <c r="H88" s="505" t="inlineStr">
        <is>
          <t>Function</t>
        </is>
      </c>
      <c r="I88" s="505" t="inlineStr">
        <is>
          <t>Todo</t>
        </is>
      </c>
      <c r="J88" s="505" t="inlineStr">
        <is>
          <t>Todo</t>
        </is>
      </c>
      <c r="K88" s="505" t="n"/>
      <c r="L88" s="505" t="inlineStr"/>
    </row>
    <row r="89" ht="68.65000000000001" customHeight="1" s="408"/>
    <row r="90" ht="68.65000000000001" customHeight="1" s="408"/>
    <row r="91" ht="46.25" customHeight="1" s="408"/>
    <row r="92" ht="46.25" customHeight="1" s="408"/>
    <row r="93" ht="15" customHeight="1" s="408"/>
    <row r="94" ht="68.65000000000001" customHeight="1" s="408"/>
    <row r="95" ht="46.25" customHeight="1" s="408"/>
    <row r="96" ht="46.25" customHeight="1" s="408"/>
    <row r="97" ht="46.25" customHeight="1" s="408"/>
    <row r="98" ht="46.25" customHeight="1" s="408"/>
    <row r="99" ht="15" customHeight="1" s="408"/>
    <row r="100" ht="57.45" customHeight="1" s="408"/>
    <row r="101" ht="46.25" customHeight="1" s="408"/>
    <row r="102" ht="46.25" customHeight="1" s="408"/>
    <row r="103" ht="15.75" customHeight="1" s="408"/>
    <row r="104" ht="15" customHeight="1" s="408"/>
    <row r="105" ht="68.65000000000001" customHeight="1" s="408"/>
    <row r="106" ht="57.45" customHeight="1" s="408"/>
    <row r="107" ht="73.09999999999999" customHeight="1" s="408"/>
    <row r="108" ht="57.45" customHeight="1" s="408"/>
    <row r="109" ht="73.09999999999999" customHeight="1" s="408"/>
    <row r="110" ht="57.45" customHeight="1" s="408"/>
    <row r="111" ht="57.45" customHeight="1" s="408"/>
    <row r="112" ht="57.45" customHeight="1" s="408"/>
    <row r="113" ht="57.45" customHeight="1" s="408"/>
    <row r="114" ht="61.15" customHeight="1" s="408"/>
    <row r="115" ht="61.15" customHeight="1" s="408"/>
    <row r="116" ht="15" customHeight="1" s="408"/>
    <row r="117" ht="68.65000000000001" customHeight="1" s="408"/>
    <row r="118" ht="73.09999999999999" customHeight="1" s="408"/>
    <row r="119" ht="68.65000000000001" customHeight="1" s="408"/>
    <row r="120" ht="79.84999999999999" customHeight="1" s="408"/>
    <row r="121" ht="79.84999999999999" customHeight="1" s="408"/>
    <row r="122" ht="68.65000000000001" customHeight="1" s="408"/>
    <row r="123" ht="68.65000000000001" customHeight="1" s="408"/>
    <row r="124" ht="68.65000000000001" customHeight="1" s="408"/>
    <row r="125" ht="68.65000000000001" customHeight="1" s="408"/>
    <row r="126" ht="15" customHeight="1" s="408"/>
    <row r="127" ht="73.09999999999999" customHeight="1" s="408"/>
    <row r="128" ht="73.09999999999999" customHeight="1" s="408"/>
    <row r="129" ht="15.75" customHeight="1" s="408"/>
    <row r="130" ht="15.75" customHeight="1" s="408"/>
    <row r="131" ht="54" customHeight="1" s="408"/>
    <row r="132" ht="54" customHeight="1" s="408"/>
    <row r="133" ht="54" customHeight="1" s="408"/>
    <row r="134" ht="69.75" customHeight="1" s="408"/>
    <row r="135" ht="54" customHeight="1" s="408"/>
    <row r="136" ht="54" customHeight="1" s="408"/>
    <row r="137" ht="66" customHeight="1" s="408"/>
    <row r="138" ht="61.5" customHeight="1" s="408"/>
    <row r="139" ht="66" customHeight="1" s="408"/>
    <row r="140" ht="78" customHeight="1" s="408"/>
    <row r="141" ht="85.05" customHeight="1" s="408"/>
    <row r="142" ht="54" customHeight="1" s="408"/>
    <row r="143" ht="54" customHeight="1" s="408"/>
    <row r="144" ht="15.75" customHeight="1" s="408"/>
    <row r="145" ht="66.75" customHeight="1" s="408"/>
    <row r="146" ht="66.75" customHeight="1" s="408"/>
    <row r="147" ht="66.75" customHeight="1" s="408"/>
    <row r="148" ht="66.75" customHeight="1" s="408"/>
    <row r="149" ht="66.75" customHeight="1" s="408"/>
    <row r="150" ht="66.75" customHeight="1" s="408"/>
    <row r="151" ht="66.75" customHeight="1" s="408"/>
    <row r="152" ht="66.75" customHeight="1" s="408"/>
    <row r="153" ht="66.75" customHeight="1" s="408"/>
    <row r="154" ht="66.75" customHeight="1" s="408"/>
    <row r="155" ht="66.75" customHeight="1" s="408"/>
    <row r="156" ht="66.75" customHeight="1" s="408"/>
    <row r="157" ht="15.75" customHeight="1" s="408"/>
    <row r="158" ht="67.5" customHeight="1" s="408"/>
    <row r="159" ht="67.5" customHeight="1" s="408"/>
    <row r="160" ht="15.75" customHeight="1" s="408"/>
    <row r="161" ht="15.75" customHeight="1" s="408"/>
    <row r="162" ht="90.75" customHeight="1" s="408"/>
    <row r="163" ht="58.5" customHeight="1" s="408"/>
    <row r="164" ht="58.5" customHeight="1" s="408"/>
    <row r="165" ht="64.5" customHeight="1" s="408"/>
    <row r="166" ht="58.5" customHeight="1" s="408"/>
    <row r="167" ht="58.5" customHeight="1" s="408"/>
    <row r="168" ht="58.5" customHeight="1" s="408"/>
    <row r="169" ht="66" customHeight="1" s="408"/>
    <row r="170" ht="67.5" customHeight="1" s="408"/>
    <row r="171" ht="67.5" customHeight="1" s="408"/>
    <row r="172" ht="69" customHeight="1" s="408"/>
    <row r="173" ht="58.5" customHeight="1" s="408"/>
    <row r="174" ht="15.75" customHeight="1" s="408"/>
    <row r="175" ht="64.5" customHeight="1" s="408"/>
    <row r="176" ht="64.5" customHeight="1" s="408"/>
    <row r="177" ht="75" customHeight="1" s="408"/>
    <row r="178" ht="78.75" customHeight="1" s="408"/>
    <row r="179" ht="78" customHeight="1" s="408"/>
    <row r="180" ht="73.5" customHeight="1" s="408"/>
    <row r="181" ht="73.5" customHeight="1" s="408"/>
    <row r="182" ht="78.75" customHeight="1" s="408"/>
    <row r="183" ht="76.5" customHeight="1" s="408"/>
    <row r="184" ht="76.5" customHeight="1" s="408"/>
    <row r="185" ht="76.5" customHeight="1" s="408"/>
    <row r="186" ht="76.5" customHeight="1" s="408"/>
    <row r="187" ht="76.5" customHeight="1" s="408"/>
    <row r="188" ht="15.75" customHeight="1" s="408"/>
    <row r="189" ht="76.5" customHeight="1" s="408"/>
    <row r="190" ht="67.5" customHeight="1" s="408"/>
    <row r="191" ht="67.5" customHeight="1" s="408"/>
    <row r="192" ht="67.5" customHeight="1" s="408"/>
    <row r="193" ht="15.75" customHeight="1" s="408"/>
    <row r="194" ht="78" customHeight="1" s="408"/>
    <row r="195" ht="127.5" customHeight="1" s="408"/>
    <row r="196" ht="78" customHeight="1" s="408"/>
    <row r="197" ht="15.75" customHeight="1" s="408"/>
    <row r="198" ht="15.75" customHeight="1" s="408"/>
    <row r="199" ht="72" customHeight="1" s="408"/>
    <row r="200" ht="72" customHeight="1" s="408"/>
    <row r="201" ht="72" customHeight="1" s="408"/>
    <row r="202" ht="72" customHeight="1" s="408"/>
    <row r="203" ht="72" customHeight="1" s="408"/>
    <row r="204" ht="72" customHeight="1" s="408"/>
    <row r="205" ht="72" customHeight="1" s="408"/>
    <row r="206" ht="72" customHeight="1" s="408"/>
    <row r="207" ht="15.75" customHeight="1" s="408"/>
    <row r="208" ht="72" customHeight="1" s="408"/>
    <row r="209" ht="72" customHeight="1" s="408"/>
    <row r="210" ht="72" customHeight="1" s="408"/>
    <row r="211" ht="72" customHeight="1" s="408"/>
    <row r="212" ht="72" customHeight="1" s="408"/>
    <row r="213" ht="15.75" customHeight="1" s="408"/>
    <row r="214" ht="72" customHeight="1" s="408"/>
    <row r="215" ht="72" customHeight="1" s="408"/>
    <row r="216" ht="15.75" customHeight="1" s="408"/>
    <row r="217" ht="78" customHeight="1" s="408"/>
    <row r="218" ht="87.75" customHeight="1" s="408"/>
    <row r="219" ht="78" customHeight="1" s="408"/>
    <row r="220" ht="15.75" customHeight="1" s="408"/>
    <row r="221" ht="39" customHeight="1" s="408"/>
    <row r="222" ht="15.75" customHeight="1" s="408"/>
    <row r="223" ht="15.75" customHeight="1" s="408"/>
    <row r="224" ht="15.75" customHeight="1" s="408"/>
    <row r="225" ht="15.75" customHeight="1" s="408"/>
    <row r="226" ht="15.75" customHeight="1" s="408"/>
    <row r="227" ht="15.75" customHeight="1" s="408"/>
    <row r="228" ht="15.75" customHeight="1" s="408"/>
    <row r="229" ht="15.75" customHeight="1" s="408"/>
    <row r="230" ht="15.75" customHeight="1" s="408"/>
    <row r="231" ht="15.75" customHeight="1" s="408"/>
    <row r="232" ht="15.75" customHeight="1" s="408"/>
    <row r="233" ht="15.75" customHeight="1" s="408"/>
    <row r="234" ht="15.75" customHeight="1" s="408"/>
    <row r="235" ht="15.75" customHeight="1" s="408"/>
    <row r="236" ht="15.75" customHeight="1" s="408"/>
    <row r="237" ht="15.75" customHeight="1" s="408"/>
    <row r="238" ht="15.75" customHeight="1" s="408"/>
    <row r="239" ht="15.75" customHeight="1" s="408"/>
    <row r="240" ht="15.75" customHeight="1" s="408"/>
    <row r="241" ht="15.75" customHeight="1" s="408"/>
    <row r="242" ht="15.75" customHeight="1" s="408"/>
    <row r="243" ht="15.75" customHeight="1" s="408"/>
    <row r="244" ht="15.75" customHeight="1" s="408"/>
    <row r="245" ht="15.75" customHeight="1" s="408"/>
    <row r="246" ht="15.75" customHeight="1" s="408"/>
    <row r="247" ht="15.75" customHeight="1" s="408"/>
    <row r="248" ht="15.75" customHeight="1" s="408"/>
    <row r="249" ht="15.75" customHeight="1" s="408"/>
    <row r="250" ht="15.75" customHeight="1" s="408"/>
    <row r="251" ht="15.75" customHeight="1" s="408"/>
    <row r="252" ht="15.75" customHeight="1" s="408"/>
    <row r="253" ht="15.75" customHeight="1" s="408"/>
    <row r="254" ht="15.75" customHeight="1" s="408"/>
    <row r="255" ht="15.75" customHeight="1" s="408"/>
    <row r="256" ht="15.75" customHeight="1" s="408"/>
    <row r="257" ht="15.75" customHeight="1" s="408"/>
    <row r="258" ht="15.75" customHeight="1" s="408"/>
    <row r="259" ht="15.75" customHeight="1" s="408"/>
    <row r="260" ht="15.75" customHeight="1" s="408"/>
    <row r="261" ht="15.75" customHeight="1" s="408"/>
    <row r="262" ht="15.75" customHeight="1" s="408"/>
    <row r="263" ht="15.75" customHeight="1" s="408"/>
    <row r="264" ht="15.75" customHeight="1" s="408"/>
    <row r="265" ht="15.75" customHeight="1" s="408"/>
    <row r="266" ht="15.75" customHeight="1" s="408"/>
    <row r="267" ht="15.75" customHeight="1" s="408"/>
    <row r="268" ht="15.75" customHeight="1" s="408"/>
    <row r="269" ht="15.75" customHeight="1" s="408"/>
    <row r="270" ht="15.75" customHeight="1" s="408"/>
    <row r="271" ht="15.75" customHeight="1" s="408"/>
    <row r="272" ht="15.75" customHeight="1" s="408"/>
    <row r="273" ht="15.75" customHeight="1" s="408"/>
    <row r="274" ht="15.75" customHeight="1" s="408"/>
    <row r="275" ht="15.75" customHeight="1" s="408"/>
    <row r="276" ht="15.75" customHeight="1" s="408"/>
    <row r="277" ht="15.75" customHeight="1" s="408"/>
    <row r="278" ht="15.75" customHeight="1" s="408"/>
    <row r="279" ht="15.75" customHeight="1" s="408"/>
    <row r="280" ht="15.75" customHeight="1" s="408"/>
    <row r="281" ht="15.75" customHeight="1" s="408"/>
    <row r="282" ht="15.75" customHeight="1" s="408"/>
    <row r="283" ht="15.75" customHeight="1" s="408"/>
    <row r="284" ht="15.75" customHeight="1" s="408"/>
    <row r="285" ht="15.75" customHeight="1" s="408"/>
    <row r="286" ht="15.75" customHeight="1" s="408"/>
    <row r="287" ht="15.75" customHeight="1" s="408"/>
    <row r="288" ht="15.75" customHeight="1" s="408"/>
    <row r="289" ht="15.75" customHeight="1" s="408"/>
    <row r="290" ht="15.75" customHeight="1" s="408"/>
    <row r="291" ht="15.75" customHeight="1" s="408"/>
    <row r="292" ht="15.75" customHeight="1" s="408"/>
    <row r="293" ht="15.75" customHeight="1" s="408"/>
    <row r="294" ht="15.75" customHeight="1" s="408"/>
    <row r="295" ht="15.75" customHeight="1" s="408"/>
    <row r="296" ht="15.75" customHeight="1" s="408"/>
    <row r="297" ht="15.75" customHeight="1" s="408"/>
    <row r="298" ht="15.75" customHeight="1" s="408"/>
    <row r="299" ht="15.75" customHeight="1" s="408"/>
    <row r="300" ht="15.75" customHeight="1" s="408"/>
    <row r="301" ht="15.75" customHeight="1" s="408"/>
    <row r="302" ht="15.75" customHeight="1" s="408"/>
    <row r="303" ht="15.75" customHeight="1" s="408"/>
    <row r="304" ht="15.75" customHeight="1" s="408"/>
    <row r="305" ht="15.75" customHeight="1" s="408"/>
    <row r="306" ht="15.75" customHeight="1" s="408"/>
    <row r="307" ht="15.75" customHeight="1" s="408"/>
    <row r="308" ht="15.75" customHeight="1" s="408"/>
    <row r="309" ht="15.75" customHeight="1" s="408"/>
    <row r="310" ht="15.75" customHeight="1" s="408"/>
    <row r="311" ht="15.75" customHeight="1" s="408"/>
    <row r="312" ht="15.75" customHeight="1" s="408"/>
    <row r="313" ht="15.75" customHeight="1" s="408"/>
    <row r="314" ht="15.75" customHeight="1" s="408"/>
    <row r="315" ht="15.75" customHeight="1" s="408"/>
    <row r="316" ht="15.75" customHeight="1" s="408"/>
    <row r="317" ht="15.75" customHeight="1" s="408"/>
    <row r="318" ht="15.75" customHeight="1" s="408"/>
    <row r="319" ht="15.75" customHeight="1" s="408"/>
    <row r="320" ht="15.75" customHeight="1" s="408"/>
    <row r="321" ht="15.75" customHeight="1" s="408"/>
    <row r="322" ht="15.75" customHeight="1" s="408"/>
    <row r="323" ht="15.75" customHeight="1" s="408"/>
    <row r="324" ht="15.75" customHeight="1" s="408"/>
    <row r="325" ht="15.75" customHeight="1" s="408"/>
    <row r="326" ht="15.75" customHeight="1" s="408"/>
    <row r="327" ht="15.75" customHeight="1" s="408"/>
    <row r="328" ht="15.75" customHeight="1" s="408"/>
    <row r="329" ht="15.75" customHeight="1" s="408"/>
    <row r="330" ht="15.75" customHeight="1" s="408"/>
    <row r="331" ht="15.75" customHeight="1" s="408"/>
    <row r="332" ht="15.75" customHeight="1" s="408"/>
    <row r="333" ht="15.75" customHeight="1" s="408"/>
    <row r="334" ht="15.75" customHeight="1" s="408"/>
    <row r="335" ht="15.75" customHeight="1" s="408"/>
    <row r="336" ht="15.75" customHeight="1" s="408"/>
    <row r="337" ht="15.75" customHeight="1" s="408"/>
    <row r="338" ht="15.75" customHeight="1" s="408"/>
    <row r="339" ht="15.75" customHeight="1" s="408"/>
    <row r="340" ht="15.75" customHeight="1" s="408"/>
    <row r="341" ht="15.75" customHeight="1" s="408"/>
    <row r="342" ht="15.75" customHeight="1" s="408"/>
    <row r="343" ht="15.75" customHeight="1" s="408"/>
    <row r="344" ht="15.75" customHeight="1" s="408"/>
    <row r="345" ht="15.75" customHeight="1" s="408"/>
    <row r="346" ht="15.75" customHeight="1" s="408"/>
    <row r="347" ht="15.75" customHeight="1" s="408"/>
    <row r="348" ht="15.75" customHeight="1" s="408"/>
    <row r="349" ht="15.75" customHeight="1" s="408"/>
    <row r="350" ht="15.75" customHeight="1" s="408"/>
    <row r="351" ht="15.75" customHeight="1" s="408"/>
    <row r="352" ht="15.75" customHeight="1" s="408"/>
    <row r="353" ht="15.75" customHeight="1" s="408"/>
    <row r="354" ht="15.75" customHeight="1" s="408"/>
    <row r="355" ht="15.75" customHeight="1" s="408"/>
    <row r="356" ht="15.75" customHeight="1" s="408"/>
    <row r="357" ht="15.75" customHeight="1" s="408"/>
    <row r="358" ht="15.75" customHeight="1" s="408"/>
    <row r="359" ht="15.75" customHeight="1" s="408"/>
    <row r="360" ht="15.75" customHeight="1" s="408"/>
    <row r="361" ht="15.75" customHeight="1" s="408"/>
    <row r="362" ht="15.75" customHeight="1" s="408"/>
    <row r="363" ht="15.75" customHeight="1" s="408"/>
    <row r="364" ht="15.75" customHeight="1" s="408"/>
    <row r="365" ht="15.75" customHeight="1" s="408"/>
    <row r="366" ht="15.75" customHeight="1" s="408"/>
    <row r="367" ht="15.75" customHeight="1" s="408"/>
    <row r="368" ht="15.75" customHeight="1" s="408"/>
    <row r="369" ht="15.75" customHeight="1" s="408"/>
    <row r="370" ht="15.75" customHeight="1" s="408"/>
    <row r="371" ht="15.75" customHeight="1" s="408"/>
    <row r="372" ht="15.75" customHeight="1" s="408"/>
    <row r="373" ht="15.75" customHeight="1" s="408"/>
    <row r="374" ht="15.75" customHeight="1" s="408"/>
    <row r="375" ht="15.75" customHeight="1" s="408"/>
    <row r="376" ht="15.75" customHeight="1" s="408"/>
    <row r="377" ht="15.75" customHeight="1" s="408"/>
    <row r="378" ht="15.75" customHeight="1" s="408"/>
    <row r="379" ht="15.75" customHeight="1" s="408"/>
    <row r="380" ht="15.75" customHeight="1" s="408"/>
    <row r="381" ht="15.75" customHeight="1" s="408"/>
    <row r="382" ht="15.75" customHeight="1" s="408"/>
    <row r="383" ht="15.75" customHeight="1" s="408"/>
    <row r="384" ht="15.75" customHeight="1" s="408"/>
    <row r="385" ht="15.75" customHeight="1" s="408"/>
    <row r="386" ht="15.75" customHeight="1" s="408"/>
    <row r="387" ht="15.75" customHeight="1" s="408"/>
    <row r="388" ht="15.75" customHeight="1" s="408"/>
    <row r="389" ht="15.75" customHeight="1" s="408"/>
    <row r="390" ht="15.75" customHeight="1" s="408"/>
    <row r="391" ht="15.75" customHeight="1" s="408"/>
    <row r="392" ht="15.75" customHeight="1" s="408"/>
    <row r="393" ht="15.75" customHeight="1" s="408"/>
    <row r="394" ht="15.75" customHeight="1" s="408"/>
    <row r="395" ht="15.75" customHeight="1" s="408"/>
    <row r="396" ht="15.75" customHeight="1" s="408"/>
    <row r="397" ht="15.75" customHeight="1" s="408"/>
    <row r="398" ht="15.75" customHeight="1" s="408"/>
    <row r="399" ht="15.75" customHeight="1" s="408"/>
    <row r="400" ht="15.75" customHeight="1" s="408"/>
    <row r="401" ht="15.75" customHeight="1" s="408"/>
    <row r="402" ht="15.75" customHeight="1" s="408"/>
    <row r="403" ht="15.75" customHeight="1" s="408"/>
    <row r="404" ht="15.75" customHeight="1" s="408"/>
    <row r="405" ht="15.75" customHeight="1" s="408"/>
    <row r="406" ht="15.75" customHeight="1" s="408"/>
    <row r="407" ht="15.75" customHeight="1" s="408"/>
    <row r="408" ht="15.75" customHeight="1" s="408"/>
    <row r="409" ht="15.75" customHeight="1" s="408"/>
    <row r="410" ht="15.75" customHeight="1" s="408"/>
    <row r="411" ht="15.75" customHeight="1" s="408"/>
    <row r="412" ht="15.75" customHeight="1" s="408"/>
    <row r="413" ht="15.75" customHeight="1" s="408"/>
    <row r="414" ht="15.75" customHeight="1" s="408"/>
    <row r="415" ht="15.75" customHeight="1" s="408"/>
    <row r="416" ht="15.75" customHeight="1" s="408"/>
    <row r="417" ht="15.75" customHeight="1" s="408"/>
    <row r="418" ht="15.75" customHeight="1" s="408"/>
    <row r="419" ht="15.75" customHeight="1" s="408"/>
    <row r="420" ht="15.75" customHeight="1" s="408"/>
    <row r="421" ht="15.75" customHeight="1" s="408"/>
    <row r="422" ht="15.75" customHeight="1" s="408"/>
    <row r="423" ht="15.75" customHeight="1" s="408"/>
    <row r="424" ht="15.75" customHeight="1" s="408"/>
    <row r="425" ht="15.75" customHeight="1" s="408"/>
    <row r="426" ht="15.75" customHeight="1" s="408"/>
    <row r="427" ht="15.75" customHeight="1" s="408"/>
    <row r="428" ht="15.75" customHeight="1" s="408"/>
    <row r="429" ht="15.75" customHeight="1" s="408"/>
    <row r="430" ht="15.75" customHeight="1" s="408"/>
    <row r="431" ht="15.75" customHeight="1" s="408"/>
    <row r="432" ht="15.75" customHeight="1" s="408"/>
    <row r="433" ht="15.75" customHeight="1" s="408"/>
    <row r="434" ht="15.75" customHeight="1" s="408"/>
    <row r="435" ht="15.75" customHeight="1" s="408"/>
    <row r="436" ht="15.75" customHeight="1" s="408"/>
    <row r="437" ht="15.75" customHeight="1" s="408"/>
    <row r="438" ht="15.75" customHeight="1" s="408"/>
    <row r="439" ht="15.75" customHeight="1" s="408"/>
    <row r="440" ht="15.75" customHeight="1" s="408"/>
    <row r="441" ht="15.75" customHeight="1" s="408"/>
    <row r="442" ht="15.75" customHeight="1" s="408"/>
    <row r="443" ht="15.75" customHeight="1" s="408"/>
    <row r="444" ht="15.75" customHeight="1" s="408"/>
    <row r="445" ht="15.75" customHeight="1" s="408"/>
    <row r="446" ht="15.75" customHeight="1" s="408"/>
    <row r="447" ht="15.75" customHeight="1" s="408"/>
    <row r="448" ht="15.75" customHeight="1" s="408"/>
    <row r="449" ht="15.75" customHeight="1" s="408"/>
    <row r="450" ht="15.75" customHeight="1" s="408"/>
    <row r="451" ht="15.75" customHeight="1" s="408"/>
    <row r="452" ht="15.75" customHeight="1" s="408"/>
    <row r="453" ht="15.75" customHeight="1" s="408"/>
    <row r="454" ht="15.75" customHeight="1" s="408"/>
    <row r="455" ht="15.75" customHeight="1" s="408"/>
    <row r="456" ht="15.75" customHeight="1" s="408"/>
    <row r="457" ht="15.75" customHeight="1" s="408"/>
    <row r="458" ht="15.75" customHeight="1" s="408"/>
    <row r="459" ht="15.75" customHeight="1" s="408"/>
    <row r="460" ht="15.75" customHeight="1" s="408"/>
    <row r="461" ht="15.75" customHeight="1" s="408"/>
    <row r="462" ht="15.75" customHeight="1" s="408"/>
    <row r="463" ht="15.75" customHeight="1" s="408"/>
    <row r="464" ht="15.75" customHeight="1" s="408"/>
    <row r="465" ht="15.75" customHeight="1" s="408"/>
    <row r="466" ht="15.75" customHeight="1" s="408"/>
    <row r="467" ht="15.75" customHeight="1" s="408"/>
    <row r="468" ht="15.75" customHeight="1" s="408"/>
    <row r="469" ht="15.75" customHeight="1" s="408"/>
    <row r="470" ht="15.75" customHeight="1" s="408"/>
    <row r="471" ht="15.75" customHeight="1" s="408"/>
    <row r="472" ht="15.75" customHeight="1" s="408"/>
    <row r="473" ht="15.75" customHeight="1" s="408"/>
    <row r="474" ht="15.75" customHeight="1" s="408"/>
    <row r="475" ht="15.75" customHeight="1" s="408"/>
    <row r="476" ht="15.75" customHeight="1" s="408"/>
    <row r="477" ht="15.75" customHeight="1" s="408"/>
    <row r="478" ht="15.75" customHeight="1" s="408"/>
    <row r="479" ht="15.75" customHeight="1" s="408"/>
    <row r="480" ht="15.75" customHeight="1" s="408"/>
    <row r="481" ht="15.75" customHeight="1" s="408"/>
    <row r="482" ht="15.75" customHeight="1" s="408"/>
    <row r="483" ht="15.75" customHeight="1" s="408"/>
    <row r="484" ht="15.75" customHeight="1" s="408"/>
    <row r="485" ht="15.75" customHeight="1" s="408"/>
    <row r="486" ht="15.75" customHeight="1" s="408"/>
    <row r="487" ht="15.75" customHeight="1" s="408"/>
    <row r="488" ht="15.75" customHeight="1" s="408"/>
    <row r="489" ht="15.75" customHeight="1" s="408"/>
    <row r="490" ht="15.75" customHeight="1" s="408"/>
    <row r="491" ht="15.75" customHeight="1" s="408"/>
    <row r="492" ht="15.75" customHeight="1" s="408"/>
    <row r="493" ht="15.75" customHeight="1" s="408"/>
    <row r="494" ht="15.75" customHeight="1" s="408"/>
    <row r="495" ht="15.75" customHeight="1" s="408"/>
    <row r="496" ht="15.75" customHeight="1" s="408"/>
    <row r="497" ht="15.75" customHeight="1" s="408"/>
    <row r="498" ht="15.75" customHeight="1" s="408"/>
    <row r="499" ht="15.75" customHeight="1" s="408"/>
    <row r="500" ht="15.75" customHeight="1" s="408"/>
    <row r="501" ht="15.75" customHeight="1" s="408"/>
    <row r="502" ht="15.75" customHeight="1" s="408"/>
    <row r="503" ht="15.75" customHeight="1" s="408"/>
    <row r="504" ht="15.75" customHeight="1" s="408"/>
    <row r="505" ht="15.75" customHeight="1" s="408"/>
    <row r="506" ht="15.75" customHeight="1" s="408"/>
    <row r="507" ht="15.75" customHeight="1" s="408"/>
    <row r="508" ht="15.75" customHeight="1" s="408"/>
    <row r="509" ht="15.75" customHeight="1" s="408"/>
    <row r="510" ht="15.75" customHeight="1" s="408"/>
    <row r="511" ht="15.75" customHeight="1" s="408"/>
    <row r="512" ht="15.75" customHeight="1" s="408"/>
    <row r="513" ht="15.75" customHeight="1" s="408"/>
    <row r="514" ht="15.75" customHeight="1" s="408"/>
    <row r="515" ht="15.75" customHeight="1" s="408"/>
    <row r="516" ht="15.75" customHeight="1" s="408"/>
    <row r="517" ht="15.75" customHeight="1" s="408"/>
    <row r="518" ht="15.75" customHeight="1" s="408"/>
    <row r="519" ht="15.75" customHeight="1" s="408"/>
    <row r="520" ht="15.75" customHeight="1" s="408"/>
    <row r="521" ht="15.75" customHeight="1" s="408"/>
    <row r="522" ht="15.75" customHeight="1" s="408"/>
    <row r="523" ht="15.75" customHeight="1" s="408"/>
    <row r="524" ht="15.75" customHeight="1" s="408"/>
    <row r="525" ht="15.75" customHeight="1" s="408"/>
    <row r="526" ht="15.75" customHeight="1" s="408"/>
    <row r="527" ht="15.75" customHeight="1" s="408"/>
    <row r="528" ht="15.75" customHeight="1" s="408"/>
    <row r="529" ht="15.75" customHeight="1" s="408"/>
    <row r="530" ht="15.75" customHeight="1" s="408"/>
    <row r="531" ht="15.75" customHeight="1" s="408"/>
    <row r="532" ht="15.75" customHeight="1" s="408"/>
    <row r="533" ht="15.75" customHeight="1" s="408"/>
    <row r="534" ht="15.75" customHeight="1" s="408"/>
    <row r="535" ht="15.75" customHeight="1" s="408"/>
    <row r="536" ht="15.75" customHeight="1" s="408"/>
    <row r="537" ht="15.75" customHeight="1" s="408"/>
    <row r="538" ht="15.75" customHeight="1" s="408"/>
    <row r="539" ht="15.75" customHeight="1" s="408"/>
    <row r="540" ht="15.75" customHeight="1" s="408"/>
    <row r="541" ht="15.75" customHeight="1" s="408"/>
    <row r="542" ht="15.75" customHeight="1" s="408"/>
    <row r="543" ht="15.75" customHeight="1" s="408"/>
    <row r="544" ht="15.75" customHeight="1" s="408"/>
    <row r="545" ht="15.75" customHeight="1" s="408"/>
    <row r="546" ht="15.75" customHeight="1" s="408"/>
    <row r="547" ht="15.75" customHeight="1" s="408"/>
    <row r="548" ht="15.75" customHeight="1" s="408"/>
    <row r="549" ht="15.75" customHeight="1" s="408"/>
    <row r="550" ht="15.75" customHeight="1" s="408"/>
    <row r="551" ht="15.75" customHeight="1" s="408"/>
    <row r="552" ht="15.75" customHeight="1" s="408"/>
    <row r="553" ht="15.75" customHeight="1" s="408"/>
    <row r="554" ht="15.75" customHeight="1" s="408"/>
    <row r="555" ht="15.75" customHeight="1" s="408"/>
    <row r="556" ht="15.75" customHeight="1" s="408"/>
    <row r="557" ht="15.75" customHeight="1" s="408"/>
    <row r="558" ht="15.75" customHeight="1" s="408"/>
    <row r="559" ht="15.75" customHeight="1" s="408"/>
    <row r="560" ht="15.75" customHeight="1" s="408"/>
    <row r="561" ht="15.75" customHeight="1" s="408"/>
    <row r="562" ht="15.75" customHeight="1" s="408"/>
    <row r="563" ht="15.75" customHeight="1" s="408"/>
    <row r="564" ht="15.75" customHeight="1" s="408"/>
    <row r="565" ht="15.75" customHeight="1" s="408"/>
    <row r="566" ht="15.75" customHeight="1" s="408"/>
    <row r="567" ht="15.75" customHeight="1" s="408"/>
    <row r="568" ht="15.75" customHeight="1" s="408"/>
    <row r="569" ht="15.75" customHeight="1" s="408"/>
    <row r="570" ht="15.75" customHeight="1" s="408"/>
    <row r="571" ht="15.75" customHeight="1" s="408"/>
    <row r="572" ht="15.75" customHeight="1" s="408"/>
    <row r="573" ht="15.75" customHeight="1" s="408"/>
    <row r="574" ht="15.75" customHeight="1" s="408"/>
    <row r="575" ht="15.75" customHeight="1" s="408"/>
    <row r="576" ht="15.75" customHeight="1" s="408"/>
    <row r="577" ht="15.75" customHeight="1" s="408"/>
    <row r="578" ht="15.75" customHeight="1" s="408"/>
    <row r="579" ht="15.75" customHeight="1" s="408"/>
    <row r="580" ht="15.75" customHeight="1" s="408"/>
    <row r="581" ht="15.75" customHeight="1" s="408"/>
    <row r="582" ht="15.75" customHeight="1" s="408"/>
    <row r="583" ht="15.75" customHeight="1" s="408"/>
    <row r="584" ht="15.75" customHeight="1" s="408"/>
    <row r="585" ht="15.75" customHeight="1" s="408"/>
    <row r="586" ht="15.75" customHeight="1" s="408"/>
    <row r="587" ht="15.75" customHeight="1" s="408"/>
    <row r="588" ht="15.75" customHeight="1" s="408"/>
    <row r="589" ht="15.75" customHeight="1" s="408"/>
    <row r="590" ht="15.75" customHeight="1" s="408"/>
    <row r="591" ht="15.75" customHeight="1" s="408"/>
    <row r="592" ht="15.75" customHeight="1" s="408"/>
    <row r="593" ht="15.75" customHeight="1" s="408"/>
    <row r="594" ht="15.75" customHeight="1" s="408"/>
    <row r="595" ht="15.75" customHeight="1" s="408"/>
    <row r="596" ht="15.75" customHeight="1" s="408"/>
    <row r="597" ht="15.75" customHeight="1" s="408"/>
    <row r="598" ht="15.75" customHeight="1" s="408"/>
    <row r="599" ht="15.75" customHeight="1" s="408"/>
    <row r="600" ht="15.75" customHeight="1" s="408"/>
    <row r="601" ht="15.75" customHeight="1" s="408"/>
    <row r="602" ht="15.75" customHeight="1" s="408"/>
    <row r="603" ht="15.75" customHeight="1" s="408"/>
    <row r="604" ht="15.75" customHeight="1" s="408"/>
    <row r="605" ht="15.75" customHeight="1" s="408"/>
    <row r="606" ht="15.75" customHeight="1" s="408"/>
    <row r="607" ht="15.75" customHeight="1" s="408"/>
    <row r="608" ht="15.75" customHeight="1" s="408"/>
    <row r="609" ht="15.75" customHeight="1" s="408"/>
    <row r="610" ht="15.75" customHeight="1" s="408"/>
    <row r="611" ht="15.75" customHeight="1" s="408"/>
    <row r="612" ht="15.75" customHeight="1" s="408"/>
    <row r="613" ht="15.75" customHeight="1" s="408"/>
    <row r="614" ht="15.75" customHeight="1" s="408"/>
    <row r="615" ht="15.75" customHeight="1" s="408"/>
    <row r="616" ht="15.75" customHeight="1" s="408"/>
    <row r="617" ht="15.75" customHeight="1" s="408"/>
    <row r="618" ht="15.75" customHeight="1" s="408"/>
    <row r="619" ht="15.75" customHeight="1" s="408"/>
    <row r="620" ht="15.75" customHeight="1" s="408"/>
    <row r="621" ht="15.75" customHeight="1" s="408"/>
    <row r="622" ht="15.75" customHeight="1" s="408"/>
    <row r="623" ht="15.75" customHeight="1" s="408"/>
    <row r="624" ht="15.75" customHeight="1" s="408"/>
    <row r="625" ht="15.75" customHeight="1" s="408"/>
    <row r="626" ht="15.75" customHeight="1" s="408"/>
    <row r="627" ht="15.75" customHeight="1" s="408"/>
    <row r="628" ht="15.75" customHeight="1" s="408"/>
    <row r="629" ht="15.75" customHeight="1" s="408"/>
    <row r="630" ht="15.75" customHeight="1" s="408"/>
    <row r="631" ht="15.75" customHeight="1" s="408"/>
    <row r="632" ht="15.75" customHeight="1" s="408"/>
    <row r="633" ht="15.75" customHeight="1" s="408"/>
    <row r="634" ht="15.75" customHeight="1" s="408"/>
    <row r="635" ht="15.75" customHeight="1" s="408"/>
    <row r="636" ht="15.75" customHeight="1" s="408"/>
    <row r="637" ht="15.75" customHeight="1" s="408"/>
    <row r="638" ht="15.75" customHeight="1" s="408"/>
    <row r="639" ht="15.75" customHeight="1" s="408"/>
    <row r="640" ht="15.75" customHeight="1" s="408"/>
    <row r="641" ht="15.75" customHeight="1" s="408"/>
    <row r="642" ht="15.75" customHeight="1" s="408"/>
    <row r="643" ht="15.75" customHeight="1" s="408"/>
    <row r="644" ht="15.75" customHeight="1" s="408"/>
    <row r="645" ht="15.75" customHeight="1" s="408"/>
    <row r="646" ht="15.75" customHeight="1" s="408"/>
    <row r="647" ht="15.75" customHeight="1" s="408"/>
    <row r="648" ht="15.75" customHeight="1" s="408"/>
    <row r="649" ht="15.75" customHeight="1" s="408"/>
    <row r="650" ht="15.75" customHeight="1" s="408"/>
    <row r="651" ht="15.75" customHeight="1" s="408"/>
    <row r="652" ht="15.75" customHeight="1" s="408"/>
    <row r="653" ht="15.75" customHeight="1" s="408"/>
    <row r="654" ht="15.75" customHeight="1" s="408"/>
    <row r="655" ht="15.75" customHeight="1" s="408"/>
    <row r="656" ht="15.75" customHeight="1" s="408"/>
    <row r="657" ht="15.75" customHeight="1" s="408"/>
    <row r="658" ht="15.75" customHeight="1" s="408"/>
    <row r="659" ht="15.75" customHeight="1" s="408"/>
    <row r="660" ht="15.75" customHeight="1" s="408"/>
    <row r="661" ht="15.75" customHeight="1" s="408"/>
    <row r="662" ht="15.75" customHeight="1" s="408"/>
    <row r="663" ht="15.75" customHeight="1" s="408"/>
    <row r="664" ht="15.75" customHeight="1" s="408"/>
    <row r="665" ht="15.75" customHeight="1" s="408"/>
    <row r="666" ht="15.75" customHeight="1" s="408"/>
    <row r="667" ht="15.75" customHeight="1" s="408"/>
    <row r="668" ht="15.75" customHeight="1" s="408"/>
    <row r="669" ht="15.75" customHeight="1" s="408"/>
    <row r="670" ht="15.75" customHeight="1" s="408"/>
    <row r="671" ht="15.75" customHeight="1" s="408"/>
    <row r="672" ht="15.75" customHeight="1" s="408"/>
    <row r="673" ht="15.75" customHeight="1" s="408"/>
    <row r="674" ht="15.75" customHeight="1" s="408"/>
    <row r="675" ht="15.75" customHeight="1" s="408"/>
    <row r="676" ht="15.75" customHeight="1" s="408"/>
    <row r="677" ht="15.75" customHeight="1" s="408"/>
    <row r="678" ht="15.75" customHeight="1" s="408"/>
    <row r="679" ht="15.75" customHeight="1" s="408"/>
    <row r="680" ht="15.75" customHeight="1" s="408"/>
    <row r="681" ht="15.75" customHeight="1" s="408"/>
    <row r="682" ht="15.75" customHeight="1" s="408"/>
    <row r="683" ht="15.75" customHeight="1" s="408"/>
    <row r="684" ht="15.75" customHeight="1" s="408"/>
    <row r="685" ht="15.75" customHeight="1" s="408"/>
    <row r="686" ht="15.75" customHeight="1" s="408"/>
    <row r="687" ht="15.75" customHeight="1" s="408"/>
    <row r="688" ht="15.75" customHeight="1" s="408"/>
    <row r="689" ht="15.75" customHeight="1" s="408"/>
    <row r="690" ht="15.75" customHeight="1" s="408"/>
    <row r="691" ht="15.75" customHeight="1" s="408"/>
    <row r="692" ht="15.75" customHeight="1" s="408"/>
    <row r="693" ht="15.75" customHeight="1" s="408"/>
    <row r="694" ht="15.75" customHeight="1" s="408"/>
    <row r="695" ht="15.75" customHeight="1" s="408"/>
    <row r="696" ht="15.75" customHeight="1" s="408"/>
    <row r="697" ht="15.75" customHeight="1" s="408"/>
    <row r="698" ht="15.75" customHeight="1" s="408"/>
    <row r="699" ht="15.75" customHeight="1" s="408"/>
    <row r="700" ht="15.75" customHeight="1" s="408"/>
    <row r="701" ht="15.75" customHeight="1" s="408"/>
    <row r="702" ht="15.75" customHeight="1" s="408"/>
    <row r="703" ht="15.75" customHeight="1" s="408"/>
    <row r="704" ht="15.75" customHeight="1" s="408"/>
    <row r="705" ht="15.75" customHeight="1" s="408"/>
    <row r="706" ht="15.75" customHeight="1" s="408"/>
    <row r="707" ht="15.75" customHeight="1" s="408"/>
    <row r="708" ht="15.75" customHeight="1" s="408"/>
    <row r="709" ht="15.75" customHeight="1" s="408"/>
    <row r="710" ht="15.75" customHeight="1" s="408"/>
    <row r="711" ht="15.75" customHeight="1" s="408"/>
    <row r="712" ht="15.75" customHeight="1" s="408"/>
    <row r="713" ht="15.75" customHeight="1" s="408"/>
    <row r="714" ht="15.75" customHeight="1" s="408"/>
    <row r="715" ht="15.75" customHeight="1" s="408"/>
    <row r="716" ht="15.75" customHeight="1" s="408"/>
    <row r="717" ht="15.75" customHeight="1" s="408"/>
    <row r="718" ht="15.75" customHeight="1" s="408"/>
    <row r="719" ht="15.75" customHeight="1" s="408"/>
    <row r="720" ht="15.75" customHeight="1" s="408"/>
    <row r="721" ht="15.75" customHeight="1" s="408"/>
    <row r="722" ht="15.75" customHeight="1" s="408"/>
    <row r="723" ht="15.75" customHeight="1" s="408"/>
    <row r="724" ht="15.75" customHeight="1" s="408"/>
    <row r="725" ht="15.75" customHeight="1" s="408"/>
    <row r="726" ht="15.75" customHeight="1" s="408"/>
    <row r="727" ht="15.75" customHeight="1" s="408"/>
    <row r="728" ht="15.75" customHeight="1" s="408"/>
    <row r="729" ht="15.75" customHeight="1" s="408"/>
    <row r="730" ht="15.75" customHeight="1" s="408"/>
    <row r="731" ht="15.75" customHeight="1" s="408"/>
    <row r="732" ht="15.75" customHeight="1" s="408"/>
    <row r="733" ht="15.75" customHeight="1" s="408"/>
    <row r="734" ht="15.75" customHeight="1" s="408"/>
    <row r="735" ht="15.75" customHeight="1" s="408"/>
    <row r="736" ht="15.75" customHeight="1" s="408"/>
    <row r="737" ht="15.75" customHeight="1" s="408"/>
    <row r="738" ht="15.75" customHeight="1" s="408"/>
    <row r="739" ht="15.75" customHeight="1" s="408"/>
    <row r="740" ht="15.75" customHeight="1" s="408"/>
    <row r="741" ht="15.75" customHeight="1" s="408"/>
    <row r="742" ht="15.75" customHeight="1" s="408"/>
    <row r="743" ht="15.75" customHeight="1" s="408"/>
    <row r="744" ht="15.75" customHeight="1" s="408"/>
    <row r="745" ht="15.75" customHeight="1" s="408"/>
    <row r="746" ht="15.75" customHeight="1" s="408"/>
    <row r="747" ht="15.75" customHeight="1" s="408"/>
    <row r="748" ht="15.75" customHeight="1" s="408"/>
    <row r="749" ht="15.75" customHeight="1" s="408"/>
    <row r="750" ht="15.75" customHeight="1" s="408"/>
    <row r="751" ht="15.75" customHeight="1" s="408"/>
    <row r="752" ht="15.75" customHeight="1" s="408"/>
    <row r="753" ht="15.75" customHeight="1" s="408"/>
    <row r="754" ht="15.75" customHeight="1" s="408"/>
    <row r="755" ht="15.75" customHeight="1" s="408"/>
    <row r="756" ht="15.75" customHeight="1" s="408"/>
    <row r="757" ht="15.75" customHeight="1" s="408"/>
    <row r="758" ht="15.75" customHeight="1" s="408"/>
    <row r="759" ht="15.75" customHeight="1" s="408"/>
    <row r="760" ht="15.75" customHeight="1" s="408"/>
    <row r="761" ht="15.75" customHeight="1" s="408"/>
    <row r="762" ht="15.75" customHeight="1" s="408"/>
    <row r="763" ht="15.75" customHeight="1" s="408"/>
    <row r="764" ht="15.75" customHeight="1" s="408"/>
    <row r="765" ht="15.75" customHeight="1" s="408"/>
    <row r="766" ht="15.75" customHeight="1" s="408"/>
    <row r="767" ht="15.75" customHeight="1" s="408"/>
    <row r="768" ht="15.75" customHeight="1" s="408"/>
    <row r="769" ht="15.75" customHeight="1" s="408"/>
    <row r="770" ht="15.75" customHeight="1" s="408"/>
    <row r="771" ht="15.75" customHeight="1" s="408"/>
    <row r="772" ht="15.75" customHeight="1" s="408"/>
    <row r="773" ht="15.75" customHeight="1" s="408"/>
    <row r="774" ht="15.75" customHeight="1" s="408"/>
    <row r="775" ht="15.75" customHeight="1" s="408"/>
    <row r="776" ht="15.75" customHeight="1" s="408"/>
    <row r="777" ht="15.75" customHeight="1" s="408"/>
    <row r="778" ht="15.75" customHeight="1" s="408"/>
    <row r="779" ht="15.75" customHeight="1" s="408"/>
    <row r="780" ht="15.75" customHeight="1" s="408"/>
    <row r="781" ht="15.75" customHeight="1" s="408"/>
    <row r="782" ht="15.75" customHeight="1" s="408"/>
    <row r="783" ht="15.75" customHeight="1" s="408"/>
    <row r="784" ht="15.75" customHeight="1" s="408"/>
    <row r="785" ht="15.75" customHeight="1" s="408"/>
    <row r="786" ht="15.75" customHeight="1" s="408"/>
    <row r="787" ht="15.75" customHeight="1" s="408"/>
    <row r="788" ht="15.75" customHeight="1" s="408"/>
    <row r="789" ht="15.75" customHeight="1" s="408"/>
    <row r="790" ht="15.75" customHeight="1" s="408"/>
    <row r="791" ht="15.75" customHeight="1" s="408"/>
    <row r="792" ht="15.75" customHeight="1" s="408"/>
    <row r="793" ht="15.75" customHeight="1" s="408"/>
    <row r="794" ht="15.75" customHeight="1" s="408"/>
    <row r="795" ht="15.75" customHeight="1" s="408"/>
    <row r="796" ht="15.75" customHeight="1" s="408"/>
    <row r="797" ht="15.75" customHeight="1" s="408"/>
    <row r="798" ht="15.75" customHeight="1" s="408"/>
    <row r="799" ht="15.75" customHeight="1" s="408"/>
    <row r="800" ht="15.75" customHeight="1" s="408"/>
    <row r="801" ht="15.75" customHeight="1" s="408"/>
    <row r="802" ht="15.75" customHeight="1" s="408"/>
    <row r="803" ht="15.75" customHeight="1" s="408"/>
    <row r="804" ht="15.75" customHeight="1" s="408"/>
    <row r="805" ht="15.75" customHeight="1" s="408"/>
    <row r="806" ht="15.75" customHeight="1" s="408"/>
    <row r="807" ht="15.75" customHeight="1" s="408"/>
    <row r="808" ht="15.75" customHeight="1" s="408"/>
    <row r="809" ht="15.75" customHeight="1" s="408"/>
    <row r="810" ht="15.75" customHeight="1" s="408"/>
    <row r="811" ht="15.75" customHeight="1" s="408"/>
    <row r="812" ht="15.75" customHeight="1" s="408"/>
    <row r="813" ht="15.75" customHeight="1" s="408"/>
    <row r="814" ht="15.75" customHeight="1" s="408"/>
    <row r="815" ht="15.75" customHeight="1" s="408"/>
    <row r="816" ht="15.75" customHeight="1" s="408"/>
    <row r="817" ht="15.75" customHeight="1" s="408"/>
    <row r="818" ht="15.75" customHeight="1" s="408"/>
    <row r="819" ht="15.75" customHeight="1" s="408"/>
    <row r="820" ht="15.75" customHeight="1" s="408"/>
    <row r="821" ht="15.75" customHeight="1" s="408"/>
    <row r="822" ht="15.75" customHeight="1" s="408"/>
    <row r="823" ht="15.75" customHeight="1" s="408"/>
    <row r="824" ht="15.75" customHeight="1" s="408"/>
    <row r="825" ht="15.75" customHeight="1" s="408"/>
    <row r="826" ht="15.75" customHeight="1" s="408"/>
    <row r="827" ht="15.75" customHeight="1" s="408"/>
    <row r="828" ht="15.75" customHeight="1" s="408"/>
    <row r="829" ht="15.75" customHeight="1" s="408"/>
    <row r="830" ht="15.75" customHeight="1" s="408"/>
    <row r="831" ht="15.75" customHeight="1" s="408"/>
    <row r="832" ht="15.75" customHeight="1" s="408"/>
    <row r="833" ht="15.75" customHeight="1" s="408"/>
    <row r="834" ht="15.75" customHeight="1" s="408"/>
    <row r="835" ht="15.75" customHeight="1" s="408"/>
    <row r="836" ht="15.75" customHeight="1" s="408"/>
    <row r="837" ht="15.75" customHeight="1" s="408"/>
    <row r="838" ht="15.75" customHeight="1" s="408"/>
    <row r="839" ht="15.75" customHeight="1" s="408"/>
    <row r="840" ht="15.75" customHeight="1" s="408"/>
    <row r="841" ht="15.75" customHeight="1" s="408"/>
    <row r="842" ht="15.75" customHeight="1" s="408"/>
    <row r="843" ht="15.75" customHeight="1" s="408"/>
    <row r="844" ht="15.75" customHeight="1" s="408"/>
    <row r="845" ht="15.75" customHeight="1" s="408"/>
    <row r="846" ht="15.75" customHeight="1" s="408"/>
    <row r="847" ht="15.75" customHeight="1" s="408"/>
    <row r="848" ht="15.75" customHeight="1" s="408"/>
    <row r="849" ht="15.75" customHeight="1" s="408"/>
    <row r="850" ht="15.75" customHeight="1" s="408"/>
    <row r="851" ht="15.75" customHeight="1" s="408"/>
    <row r="852" ht="15.75" customHeight="1" s="408"/>
    <row r="853" ht="15.75" customHeight="1" s="408"/>
    <row r="854" ht="15.75" customHeight="1" s="408"/>
    <row r="855" ht="15.75" customHeight="1" s="408"/>
    <row r="856" ht="15.75" customHeight="1" s="408"/>
    <row r="857" ht="15.75" customHeight="1" s="408"/>
    <row r="858" ht="15.75" customHeight="1" s="408"/>
    <row r="859" ht="15.75" customHeight="1" s="408"/>
    <row r="860" ht="15.75" customHeight="1" s="408"/>
    <row r="861" ht="15.75" customHeight="1" s="408"/>
    <row r="862" ht="15.75" customHeight="1" s="408"/>
    <row r="863" ht="15.75" customHeight="1" s="408"/>
    <row r="864" ht="15.75" customHeight="1" s="408"/>
    <row r="865" ht="15.75" customHeight="1" s="408"/>
    <row r="866" ht="15.75" customHeight="1" s="408"/>
    <row r="867" ht="15.75" customHeight="1" s="408"/>
    <row r="868" ht="15.75" customHeight="1" s="408"/>
    <row r="869" ht="15.75" customHeight="1" s="408"/>
    <row r="870" ht="15.75" customHeight="1" s="408"/>
    <row r="871" ht="15.75" customHeight="1" s="408"/>
    <row r="872" ht="15.75" customHeight="1" s="408"/>
    <row r="873" ht="15.75" customHeight="1" s="408"/>
    <row r="874" ht="15.75" customHeight="1" s="408"/>
    <row r="875" ht="15.75" customHeight="1" s="408"/>
    <row r="876" ht="15.75" customHeight="1" s="408"/>
    <row r="877" ht="15.75" customHeight="1" s="408"/>
    <row r="878" ht="15.75" customHeight="1" s="408"/>
    <row r="879" ht="15.75" customHeight="1" s="408"/>
    <row r="880" ht="15.75" customHeight="1" s="408"/>
    <row r="881" ht="15.75" customHeight="1" s="408"/>
    <row r="882" ht="15.75" customHeight="1" s="408"/>
    <row r="883" ht="15.75" customHeight="1" s="408"/>
    <row r="884" ht="15.75" customHeight="1" s="408"/>
    <row r="885" ht="15.75" customHeight="1" s="408"/>
    <row r="886" ht="15.75" customHeight="1" s="408"/>
    <row r="887" ht="15.75" customHeight="1" s="408"/>
    <row r="888" ht="15.75" customHeight="1" s="408"/>
    <row r="889" ht="15.75" customHeight="1" s="408"/>
    <row r="890" ht="15.75" customHeight="1" s="408"/>
    <row r="891" ht="15.75" customHeight="1" s="408"/>
    <row r="892" ht="15.75" customHeight="1" s="408"/>
    <row r="893" ht="15.75" customHeight="1" s="408"/>
    <row r="894" ht="15.75" customHeight="1" s="408"/>
    <row r="895" ht="15.75" customHeight="1" s="408"/>
    <row r="896" ht="15.75" customHeight="1" s="408"/>
    <row r="897" ht="15.75" customHeight="1" s="408"/>
    <row r="898" ht="15.75" customHeight="1" s="408"/>
    <row r="899" ht="15.75" customHeight="1" s="408"/>
    <row r="900" ht="15.75" customHeight="1" s="408"/>
    <row r="901" ht="15.75" customHeight="1" s="408"/>
    <row r="902" ht="15.75" customHeight="1" s="408"/>
    <row r="903" ht="15.75" customHeight="1" s="408"/>
    <row r="904" ht="15.75" customHeight="1" s="408"/>
    <row r="905" ht="15.75" customHeight="1" s="408"/>
    <row r="906" ht="15.75" customHeight="1" s="408"/>
    <row r="907" ht="15.75" customHeight="1" s="408"/>
    <row r="908" ht="15.75" customHeight="1" s="408"/>
    <row r="909" ht="15.75" customHeight="1" s="408"/>
    <row r="910" ht="15.75" customHeight="1" s="408"/>
    <row r="911" ht="15.75" customHeight="1" s="408"/>
    <row r="912" ht="15.75" customHeight="1" s="408"/>
    <row r="913" ht="15.75" customHeight="1" s="408"/>
    <row r="914" ht="15.75" customHeight="1" s="408"/>
    <row r="915" ht="15.75" customHeight="1" s="408"/>
    <row r="916" ht="15.75" customHeight="1" s="408"/>
    <row r="917" ht="15.75" customHeight="1" s="408"/>
    <row r="918" ht="15.75" customHeight="1" s="408"/>
    <row r="919" ht="15.75" customHeight="1" s="408"/>
    <row r="920" ht="15.75" customHeight="1" s="408"/>
    <row r="921" ht="15.75" customHeight="1" s="408"/>
    <row r="922" ht="15.75" customHeight="1" s="408"/>
    <row r="923" ht="15.75" customHeight="1" s="408"/>
    <row r="924" ht="15.75" customHeight="1" s="408"/>
    <row r="925" ht="15.75" customHeight="1" s="408"/>
    <row r="926" ht="15.75" customHeight="1" s="408"/>
    <row r="927" ht="15.75" customHeight="1" s="408"/>
    <row r="928" ht="15.75" customHeight="1" s="408"/>
    <row r="929" ht="15.75" customHeight="1" s="408"/>
    <row r="930" ht="15.75" customHeight="1" s="408"/>
    <row r="931" ht="15.75" customHeight="1" s="408"/>
    <row r="932" ht="15.75" customHeight="1" s="408"/>
    <row r="933" ht="15.75" customHeight="1" s="408"/>
    <row r="934" ht="15.75" customHeight="1" s="408"/>
    <row r="935" ht="15.75" customHeight="1" s="408"/>
    <row r="936" ht="15.75" customHeight="1" s="408"/>
    <row r="937" ht="15.75" customHeight="1" s="408"/>
    <row r="938" ht="15.75" customHeight="1" s="408"/>
    <row r="939" ht="15.75" customHeight="1" s="408"/>
    <row r="940" ht="15.75" customHeight="1" s="408"/>
    <row r="941" ht="15.75" customHeight="1" s="408"/>
    <row r="942" ht="15.75" customHeight="1" s="408"/>
    <row r="943" ht="15.75" customHeight="1" s="408"/>
    <row r="944" ht="15.75" customHeight="1" s="408"/>
    <row r="945" ht="15.75" customHeight="1" s="408"/>
    <row r="946" ht="15.75" customHeight="1" s="408"/>
    <row r="947" ht="15.75" customHeight="1" s="408"/>
    <row r="948" ht="15.75" customHeight="1" s="408"/>
    <row r="949" ht="15.75" customHeight="1" s="408"/>
    <row r="950" ht="15.75" customHeight="1" s="408"/>
    <row r="951" ht="15.75" customHeight="1" s="408"/>
    <row r="952" ht="15.75" customHeight="1" s="408"/>
    <row r="953" ht="15.75" customHeight="1" s="408"/>
    <row r="954" ht="15.75" customHeight="1" s="408"/>
    <row r="955" ht="15.75" customHeight="1" s="408"/>
    <row r="956" ht="15.75" customHeight="1" s="408"/>
    <row r="957" ht="15.75" customHeight="1" s="408"/>
    <row r="958" ht="15.75" customHeight="1" s="408"/>
    <row r="959" ht="15.75" customHeight="1" s="408"/>
    <row r="960" ht="15.75" customHeight="1" s="408"/>
    <row r="961" ht="15.75" customHeight="1" s="408"/>
    <row r="962" ht="15.75" customHeight="1" s="408"/>
    <row r="963" ht="15.75" customHeight="1" s="408"/>
    <row r="964" ht="15.75" customHeight="1" s="408"/>
    <row r="965" ht="15.75" customHeight="1" s="408"/>
    <row r="966" ht="15.75" customHeight="1" s="408"/>
    <row r="967" ht="15.75" customHeight="1" s="408"/>
    <row r="968" ht="15.75" customHeight="1" s="408"/>
    <row r="969" ht="15.75" customHeight="1" s="408"/>
    <row r="970" ht="15.75" customHeight="1" s="408"/>
    <row r="971" ht="15.75" customHeight="1" s="408"/>
    <row r="972" ht="15.75" customHeight="1" s="408"/>
    <row r="973" ht="15.75" customHeight="1" s="408"/>
    <row r="974" ht="15.75" customHeight="1" s="408"/>
    <row r="975" ht="15.75" customHeight="1" s="408"/>
    <row r="976" ht="15.75" customHeight="1" s="408"/>
    <row r="977" ht="15.75" customHeight="1" s="408"/>
    <row r="978" ht="15.75" customHeight="1" s="408"/>
    <row r="979" ht="15.75" customHeight="1" s="408"/>
    <row r="980" ht="15.75" customHeight="1" s="408"/>
    <row r="981" ht="15.75" customHeight="1" s="408"/>
    <row r="982" ht="15.75" customHeight="1" s="408"/>
    <row r="983" ht="15.75" customHeight="1" s="408"/>
    <row r="984" ht="15.75" customHeight="1" s="408"/>
    <row r="985" ht="15.75" customHeight="1" s="408"/>
    <row r="986" ht="15.75" customHeight="1" s="408"/>
    <row r="987" ht="15.75" customHeight="1" s="408"/>
    <row r="988" ht="15.75" customHeight="1" s="408"/>
    <row r="989" ht="15.75" customHeight="1" s="408"/>
    <row r="990" ht="15.75" customHeight="1" s="408"/>
    <row r="991" ht="15.75" customHeight="1" s="408"/>
    <row r="992" ht="15.75" customHeight="1" s="408"/>
    <row r="993" ht="15.75" customHeight="1" s="408"/>
    <row r="994" ht="15.75" customHeight="1" s="408"/>
    <row r="995" ht="15.75" customHeight="1" s="408"/>
    <row r="996" ht="15.75" customHeight="1" s="408"/>
    <row r="997" ht="15.75" customHeight="1" s="408"/>
    <row r="998" ht="15.75" customHeight="1" s="408"/>
    <row r="999" ht="15.75" customHeight="1" s="408"/>
    <row r="1000" ht="15.75" customHeight="1" s="408"/>
    <row r="1001" ht="15.75" customHeight="1" s="408"/>
    <row r="1002" ht="15.75" customHeight="1" s="408"/>
    <row r="1003" ht="15.75" customHeight="1" s="408"/>
    <row r="1004" ht="15.75" customHeight="1" s="408"/>
    <row r="1005" ht="15.75" customHeight="1" s="408"/>
    <row r="1006" ht="15.75" customHeight="1" s="408"/>
    <row r="1007" ht="15.75" customHeight="1" s="408"/>
    <row r="1008" ht="15.75" customHeight="1" s="408"/>
    <row r="1009" ht="15.75" customHeight="1" s="408"/>
    <row r="1010" ht="15.75" customHeight="1" s="408"/>
    <row r="1011" ht="15.75" customHeight="1" s="408"/>
    <row r="1012" ht="15.75" customHeight="1" s="408"/>
    <row r="1013" ht="15.75" customHeight="1" s="408"/>
    <row r="1014" ht="15.75" customHeight="1" s="408"/>
    <row r="1015" ht="15.75" customHeight="1" s="408"/>
    <row r="1016" ht="15.75" customHeight="1" s="408"/>
    <row r="1017" ht="15.75" customHeight="1" s="408"/>
    <row r="1018" ht="15.75" customHeight="1" s="408"/>
    <row r="1019" ht="15.75" customHeight="1" s="408"/>
    <row r="1020" ht="15.75" customHeight="1" s="408"/>
    <row r="1021" ht="15.75" customHeight="1" s="408"/>
    <row r="1022" ht="15.75" customHeight="1" s="408"/>
    <row r="1023" ht="15.75" customHeight="1" s="408"/>
    <row r="1024" ht="15.75" customHeight="1" s="408"/>
    <row r="1025" ht="15.75" customHeight="1" s="408"/>
    <row r="1026" ht="15.75" customHeight="1" s="408"/>
    <row r="1027" ht="15.75" customHeight="1" s="408"/>
    <row r="1028" ht="15.75" customHeight="1" s="408"/>
    <row r="1029" ht="15.75" customHeight="1" s="408"/>
    <row r="1030" ht="15.75" customHeight="1" s="408"/>
    <row r="1031" ht="15.75" customHeight="1" s="408"/>
    <row r="1032" ht="15.75" customHeight="1" s="408"/>
    <row r="1033" ht="15.75" customHeight="1" s="408"/>
    <row r="1034" ht="15.75" customHeight="1" s="408"/>
    <row r="1035" ht="15.75" customHeight="1" s="408"/>
    <row r="1036" ht="15.75" customHeight="1" s="408"/>
    <row r="1037" ht="15.75" customHeight="1" s="408"/>
    <row r="1038" ht="15.75" customHeight="1" s="408"/>
    <row r="1039" ht="15.75" customHeight="1" s="408"/>
    <row r="1040" ht="15.75" customHeight="1" s="408"/>
    <row r="1041" ht="15.75" customHeight="1" s="408"/>
    <row r="1042" ht="15.75" customHeight="1" s="408"/>
    <row r="1043" ht="15.75" customHeight="1" s="408"/>
    <row r="1044" ht="15.75" customHeight="1" s="408"/>
    <row r="1045" ht="15.75" customHeight="1" s="408"/>
    <row r="1046" ht="15.75" customHeight="1" s="408"/>
    <row r="1047" ht="15.75" customHeight="1" s="408"/>
    <row r="1048" ht="15.75" customHeight="1" s="408"/>
    <row r="1049" ht="15.75" customHeight="1" s="408"/>
    <row r="1050" ht="15.75" customHeight="1" s="408"/>
  </sheetData>
  <mergeCells count="27">
    <mergeCell ref="A48:B48"/>
    <mergeCell ref="A64:B64"/>
    <mergeCell ref="A82:B82"/>
    <mergeCell ref="A7:A8"/>
    <mergeCell ref="G7:G8"/>
    <mergeCell ref="A70:B70"/>
    <mergeCell ref="L6:L8"/>
    <mergeCell ref="A65:B65"/>
    <mergeCell ref="A41:B41"/>
    <mergeCell ref="I7:J7"/>
    <mergeCell ref="D7:D8"/>
    <mergeCell ref="H7:H8"/>
    <mergeCell ref="A56:B56"/>
    <mergeCell ref="A27:B27"/>
    <mergeCell ref="A26:B26"/>
    <mergeCell ref="A71:B71"/>
    <mergeCell ref="C7:C8"/>
    <mergeCell ref="E7:E8"/>
    <mergeCell ref="K7:K8"/>
    <mergeCell ref="A17:B17"/>
    <mergeCell ref="I6:K6"/>
    <mergeCell ref="A10:B10"/>
    <mergeCell ref="B7:B8"/>
    <mergeCell ref="F7:F8"/>
    <mergeCell ref="A40:B40"/>
    <mergeCell ref="A9:B9"/>
    <mergeCell ref="A83:B83"/>
  </mergeCells>
  <conditionalFormatting sqref="G9:H16 G25:H25 G34:H34 G38:H38 G56:H59 G68:H84 G87:J129 G131:J143 G145:J156 G158:H173 G175:J187 G189:H221 I9:K40 I43:K47 I56:K84 I158:J160 I162:J173 I189:J192 I194:J221 K87:K116 K125:K126 K129 K160 K197:K198 K207 K213 K220 Q218:R219">
    <cfRule type="cellIs" rank="0" priority="2" equalAverage="0" operator="equal" aboveAverage="0" dxfId="11" text="" percent="0" bottom="0">
      <formula>"Update"</formula>
    </cfRule>
    <cfRule type="cellIs" rank="0" priority="3" equalAverage="0" operator="equal" aboveAverage="0" dxfId="12" text="" percent="0" bottom="0">
      <formula>"Pending"</formula>
    </cfRule>
    <cfRule type="cellIs" rank="0" priority="4" equalAverage="0" operator="equal" aboveAverage="0" dxfId="13" text="" percent="0" bottom="0">
      <formula>"N/A"</formula>
    </cfRule>
    <cfRule type="cellIs" rank="0" priority="5" equalAverage="0" operator="equal" aboveAverage="0" dxfId="14" text="" percent="0" bottom="0">
      <formula>"Update"</formula>
    </cfRule>
  </conditionalFormatting>
  <conditionalFormatting sqref="G9:J1050 K9:K40 K43:K47 K56:K84 K87:K116 K125:K126 K129 K160 K197:K198 K207 K213 K220 Q218:R219">
    <cfRule type="cellIs" rank="0" priority="6" equalAverage="0" operator="equal" aboveAverage="0" dxfId="15" text="" percent="0" bottom="0">
      <formula>"Pass"</formula>
    </cfRule>
    <cfRule type="cellIs" rank="0" priority="7" equalAverage="0" operator="equal" aboveAverage="0" dxfId="16" text="" percent="0" bottom="0">
      <formula>"Fail"</formula>
    </cfRule>
    <cfRule type="cellIs" rank="0" priority="8" equalAverage="0" operator="equal" aboveAverage="0" dxfId="17" text="" percent="0" bottom="0">
      <formula>"Fixed"</formula>
    </cfRule>
    <cfRule type="cellIs" rank="0" priority="9" equalAverage="0" operator="equal" aboveAverage="0" dxfId="18" text="" percent="0" bottom="0">
      <formula>"Done"</formula>
    </cfRule>
  </conditionalFormatting>
  <dataValidations count="3">
    <dataValidation sqref="G9:G2000" showDropDown="0" showInputMessage="0" showErrorMessage="1" allowBlank="1" errorTitle="Không hợp lệ" error="Giá trị nhập phải nằm trong dải ô đã chỉ định (High/Medium/Low)" type="list">
      <formula1>' Data'!$E$2:$E$4</formula1>
    </dataValidation>
    <dataValidation sqref="H9:H2000" showDropDown="0" showInputMessage="0" showErrorMessage="1" allowBlank="1" errorTitle="Không hợp lệ" error="Giá trị nhập phải nằm trong dải ô đã chỉ định (Function/GUI/Others)" type="list">
      <formula1>' Data'!$F$2:$F$4</formula1>
    </dataValidation>
    <dataValidation sqref="I9:J2000" showDropDown="0" showInputMessage="0" showErrorMessage="1" allowBlank="1" errorTitle="Không hợp lệ" error="Giá trị nhập phải nằm trong dải ô đã chỉ định (Todo/Doing/Pass/Fail/Pending/Re-Test/N-A)" type="list">
      <formula1>' Data'!$C$2:$C$8</formula1>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L8"/>
  <sheetViews>
    <sheetView showGridLines="0" workbookViewId="0">
      <pane ySplit="4" topLeftCell="A5" activePane="bottomLeft" state="frozen"/>
      <selection pane="bottomLeft" activeCell="A1" sqref="A1"/>
    </sheetView>
  </sheetViews>
  <sheetFormatPr baseColWidth="8" defaultRowHeight="15"/>
  <cols>
    <col width="4.63" customWidth="1" style="408" min="1" max="1"/>
    <col width="5.63" customWidth="1" style="408" min="2" max="2"/>
    <col width="41.38" customWidth="1" style="408" min="3" max="3"/>
    <col width="11.25" customWidth="1" style="408" min="4" max="4"/>
    <col width="9.880000000000001" customWidth="1" style="408" min="9" max="9"/>
    <col width="17.75" customWidth="1" style="408" min="10" max="10"/>
    <col width="15.13" customWidth="1" style="408" min="11" max="11"/>
    <col width="23.5" customWidth="1" style="408" min="12" max="12"/>
  </cols>
  <sheetData>
    <row r="1">
      <c r="B1" s="84" t="n"/>
      <c r="C1" s="85" t="inlineStr">
        <is>
          <t>[Link CMS / hệ thống test]</t>
        </is>
      </c>
      <c r="D1" s="84" t="n"/>
      <c r="E1" s="84" t="n"/>
      <c r="F1" s="86" t="inlineStr">
        <is>
          <t>[Tên dự án]</t>
        </is>
      </c>
      <c r="H1" s="84" t="n"/>
      <c r="I1" s="84" t="n"/>
      <c r="J1" s="84" t="n"/>
    </row>
    <row r="2"/>
    <row r="3">
      <c r="C3" s="92" t="inlineStr">
        <is>
          <t>Categories</t>
        </is>
      </c>
      <c r="D3" s="93" t="inlineStr">
        <is>
          <t>Test Case Overview</t>
        </is>
      </c>
      <c r="E3" s="466" t="n"/>
      <c r="F3" s="466" t="n"/>
      <c r="G3" s="466" t="n"/>
      <c r="H3" s="466" t="n"/>
      <c r="I3" s="466" t="n"/>
      <c r="J3" s="466" t="n"/>
      <c r="K3" s="466" t="n"/>
      <c r="L3" s="467" t="n"/>
    </row>
    <row r="4">
      <c r="B4" s="95" t="inlineStr">
        <is>
          <t>STT</t>
        </is>
      </c>
      <c r="C4" s="92" t="n"/>
      <c r="D4" s="93" t="inlineStr">
        <is>
          <t>#TC</t>
        </is>
      </c>
      <c r="E4" s="93" t="inlineStr">
        <is>
          <t>Pass</t>
        </is>
      </c>
      <c r="F4" s="93" t="inlineStr">
        <is>
          <t>Fail</t>
        </is>
      </c>
      <c r="G4" s="93" t="inlineStr">
        <is>
          <t>N/A</t>
        </is>
      </c>
      <c r="H4" s="93" t="inlineStr">
        <is>
          <t>Pending</t>
        </is>
      </c>
      <c r="I4" s="93" t="inlineStr">
        <is>
          <t>Todo</t>
        </is>
      </c>
      <c r="J4" s="93" t="inlineStr">
        <is>
          <t>Status Test</t>
        </is>
      </c>
      <c r="K4" s="93" t="inlineStr">
        <is>
          <t>Người test</t>
        </is>
      </c>
      <c r="L4" s="93" t="inlineStr">
        <is>
          <t>Note</t>
        </is>
      </c>
    </row>
    <row r="5">
      <c r="C5" s="92" t="n"/>
      <c r="D5" s="114">
        <f>D7</f>
        <v/>
      </c>
      <c r="E5" s="114">
        <f>E7</f>
        <v/>
      </c>
      <c r="F5" s="114">
        <f>F7</f>
        <v/>
      </c>
      <c r="G5" s="114">
        <f>G7</f>
        <v/>
      </c>
      <c r="H5" s="114">
        <f>H7</f>
        <v/>
      </c>
      <c r="I5" s="114">
        <f>I7</f>
        <v/>
      </c>
    </row>
    <row r="6">
      <c r="A6" s="505" t="n"/>
      <c r="B6" s="505" t="n">
        <v>1</v>
      </c>
      <c r="C6" s="505" t="inlineStr">
        <is>
          <t>Ôn thi - Kho đề Parrot</t>
        </is>
      </c>
      <c r="D6" s="505">
        <f>'Ôn thi - Kho đề Parrot'!A5</f>
        <v/>
      </c>
      <c r="E6" s="505">
        <f>'Ôn thi - Kho đề Parrot'!B5</f>
        <v/>
      </c>
      <c r="F6" s="505">
        <f>'Ôn thi - Kho đề Parrot'!C5</f>
        <v/>
      </c>
      <c r="G6" s="505">
        <f>'Ôn thi - Kho đề Parrot'!D5</f>
        <v/>
      </c>
      <c r="H6" s="505">
        <f>'Ôn thi - Kho đề Parrot'!E5</f>
        <v/>
      </c>
      <c r="I6" s="505">
        <f>'Ôn thi - Kho đề Parrot'!F5</f>
        <v/>
      </c>
      <c r="J6" s="505" t="inlineStr">
        <is>
          <t>Todo</t>
        </is>
      </c>
      <c r="K6" s="505" t="n"/>
      <c r="L6" s="505" t="n"/>
    </row>
    <row r="7">
      <c r="A7" s="506" t="n"/>
      <c r="B7" s="506" t="n"/>
      <c r="C7" s="506" t="inlineStr">
        <is>
          <t>Total</t>
        </is>
      </c>
      <c r="D7" s="506">
        <f>SUM(D6:D6)</f>
        <v/>
      </c>
      <c r="E7" s="506">
        <f>SUM(E6:E6)</f>
        <v/>
      </c>
      <c r="F7" s="506">
        <f>SUM(F6:F6)</f>
        <v/>
      </c>
      <c r="G7" s="506">
        <f>SUM(G6:G6)</f>
        <v/>
      </c>
      <c r="H7" s="506">
        <f>SUM(H6:H6)</f>
        <v/>
      </c>
      <c r="I7" s="506">
        <f>SUM(I6:I6)</f>
        <v/>
      </c>
      <c r="J7" s="506" t="n"/>
      <c r="K7" s="506" t="n"/>
      <c r="L7" s="506" t="n"/>
    </row>
    <row r="8">
      <c r="A8" s="507" t="n"/>
      <c r="B8" s="507" t="n"/>
      <c r="C8" s="507" t="inlineStr">
        <is>
          <t>%</t>
        </is>
      </c>
      <c r="D8" s="507" t="n"/>
      <c r="E8" s="507">
        <f>IFERROR(E7/D7,0)</f>
        <v/>
      </c>
      <c r="F8" s="507">
        <f>IFERROR(F7/D7,0)</f>
        <v/>
      </c>
      <c r="G8" s="507">
        <f>IFERROR(G7/D7,0)</f>
        <v/>
      </c>
      <c r="H8" s="507">
        <f>IFERROR(H7/D7,0)</f>
        <v/>
      </c>
      <c r="I8" s="507">
        <f>IFERROR(I7/D7,0)</f>
        <v/>
      </c>
      <c r="J8" s="507" t="n"/>
      <c r="K8" s="507" t="n"/>
      <c r="L8" s="507" t="n"/>
    </row>
  </sheetData>
  <mergeCells count="1">
    <mergeCell ref="D3:L3"/>
  </mergeCells>
  <pageMargins left="0.75" right="0.75" top="1" bottom="1" header="0.5" footer="0.5"/>
</worksheet>
</file>

<file path=xl/worksheets/sheet4.xml><?xml version="1.0" encoding="utf-8"?>
<worksheet xmlns="http://schemas.openxmlformats.org/spreadsheetml/2006/main">
  <sheetPr filterMode="0">
    <tabColor rgb="FF1DA1F2"/>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6328125" defaultRowHeight="15" zeroHeight="0" outlineLevelRow="0"/>
  <cols>
    <col width="5.13" customWidth="1" style="407" min="1" max="2"/>
    <col width="10.13" customWidth="1" style="407" min="3" max="3"/>
    <col width="19" customWidth="1" style="407" min="4" max="4"/>
    <col width="67.25" customWidth="1" style="407" min="5" max="5"/>
    <col width="25.25" customWidth="1" style="407" min="6" max="6"/>
  </cols>
  <sheetData>
    <row r="1" ht="15.75" customHeight="1" s="408">
      <c r="A1" s="490" t="n"/>
      <c r="B1" s="491" t="inlineStr">
        <is>
          <t>STT</t>
        </is>
      </c>
      <c r="C1" s="492" t="inlineStr">
        <is>
          <t>Phân loại</t>
        </is>
      </c>
      <c r="D1" s="492" t="inlineStr">
        <is>
          <t>Thật ngữ sử dụng</t>
        </is>
      </c>
      <c r="E1" s="491" t="inlineStr">
        <is>
          <t>Giải nghĩa</t>
        </is>
      </c>
      <c r="F1" s="491" t="inlineStr">
        <is>
          <t>Đối tượng sử dụng</t>
        </is>
      </c>
      <c r="G1" s="491" t="inlineStr">
        <is>
          <t>Ghi chú</t>
        </is>
      </c>
      <c r="H1" s="490" t="n"/>
      <c r="I1" s="490" t="n"/>
      <c r="J1" s="490" t="n"/>
      <c r="K1" s="490" t="n"/>
      <c r="L1" s="490" t="n"/>
      <c r="M1" s="490" t="n"/>
      <c r="N1" s="490" t="n"/>
      <c r="O1" s="490" t="n"/>
      <c r="P1" s="490" t="n"/>
      <c r="Q1" s="490" t="n"/>
      <c r="R1" s="490" t="n"/>
      <c r="S1" s="490" t="n"/>
      <c r="T1" s="490" t="n"/>
      <c r="U1" s="490" t="n"/>
      <c r="V1" s="490" t="n"/>
      <c r="W1" s="490" t="n"/>
      <c r="X1" s="490" t="n"/>
      <c r="Y1" s="490" t="n"/>
      <c r="Z1" s="490" t="n"/>
      <c r="AA1" s="490" t="n"/>
    </row>
    <row r="2" ht="15.75" customHeight="1" s="408">
      <c r="A2" s="493" t="n"/>
      <c r="B2" s="494" t="n">
        <v>1</v>
      </c>
      <c r="C2" s="494" t="n"/>
      <c r="D2" s="494" t="inlineStr">
        <is>
          <t>Status Test</t>
        </is>
      </c>
      <c r="E2" s="494" t="inlineStr">
        <is>
          <t xml:space="preserve">Trạng thái test </t>
        </is>
      </c>
      <c r="F2" s="494" t="inlineStr">
        <is>
          <t>QA/QC/Tester</t>
        </is>
      </c>
      <c r="G2" s="494" t="n"/>
      <c r="H2" s="493" t="n"/>
      <c r="I2" s="493" t="n"/>
      <c r="J2" s="493" t="n"/>
      <c r="K2" s="493" t="n"/>
      <c r="L2" s="493" t="n"/>
      <c r="M2" s="493" t="n"/>
      <c r="N2" s="493" t="n"/>
      <c r="O2" s="493" t="n"/>
      <c r="P2" s="493" t="n"/>
      <c r="Q2" s="493" t="n"/>
      <c r="R2" s="493" t="n"/>
      <c r="S2" s="493" t="n"/>
      <c r="T2" s="493" t="n"/>
      <c r="U2" s="493" t="n"/>
      <c r="V2" s="493" t="n"/>
      <c r="W2" s="493" t="n"/>
      <c r="X2" s="493" t="n"/>
      <c r="Y2" s="493" t="n"/>
      <c r="Z2" s="493" t="n"/>
      <c r="AA2" s="493" t="n"/>
    </row>
    <row r="3" ht="15.75" customHeight="1" s="408">
      <c r="A3" s="493" t="n"/>
      <c r="B3" s="494">
        <f>B2+B2</f>
        <v/>
      </c>
      <c r="C3" s="494" t="inlineStr">
        <is>
          <t>Status Test</t>
        </is>
      </c>
      <c r="D3" s="494" t="inlineStr">
        <is>
          <t>Todo</t>
        </is>
      </c>
      <c r="E3" s="494" t="inlineStr">
        <is>
          <t>Sẵn sàng test</t>
        </is>
      </c>
      <c r="F3" s="494" t="inlineStr">
        <is>
          <t>QA/QC/Tester</t>
        </is>
      </c>
      <c r="G3" s="494" t="n"/>
      <c r="H3" s="493" t="n"/>
      <c r="I3" s="493" t="n"/>
      <c r="J3" s="493" t="n"/>
      <c r="K3" s="493" t="n"/>
      <c r="L3" s="493" t="n"/>
      <c r="M3" s="493" t="n"/>
      <c r="N3" s="493" t="n"/>
      <c r="O3" s="493" t="n"/>
      <c r="P3" s="493" t="n"/>
      <c r="Q3" s="493" t="n"/>
      <c r="R3" s="493" t="n"/>
      <c r="S3" s="493" t="n"/>
      <c r="T3" s="493" t="n"/>
      <c r="U3" s="493" t="n"/>
      <c r="V3" s="493" t="n"/>
      <c r="W3" s="493" t="n"/>
      <c r="X3" s="493" t="n"/>
      <c r="Y3" s="493" t="n"/>
      <c r="Z3" s="493" t="n"/>
      <c r="AA3" s="493" t="n"/>
    </row>
    <row r="4" ht="15.75" customHeight="1" s="408">
      <c r="A4" s="493" t="n"/>
      <c r="B4" s="494">
        <f>B3+1</f>
        <v/>
      </c>
      <c r="C4" s="495" t="n"/>
      <c r="D4" s="494" t="inlineStr">
        <is>
          <t>Doing</t>
        </is>
      </c>
      <c r="E4" s="494" t="inlineStr">
        <is>
          <t>Đang test</t>
        </is>
      </c>
      <c r="F4" s="494" t="inlineStr">
        <is>
          <t>QA/QC/Tester</t>
        </is>
      </c>
      <c r="G4" s="494" t="n"/>
      <c r="H4" s="493" t="n"/>
      <c r="I4" s="493" t="n"/>
      <c r="J4" s="493" t="n"/>
      <c r="K4" s="493" t="n"/>
      <c r="L4" s="493" t="n"/>
      <c r="M4" s="493" t="n"/>
      <c r="N4" s="493" t="n"/>
      <c r="O4" s="493" t="n"/>
      <c r="P4" s="493" t="n"/>
      <c r="Q4" s="493" t="n"/>
      <c r="R4" s="493" t="n"/>
      <c r="S4" s="493" t="n"/>
      <c r="T4" s="493" t="n"/>
      <c r="U4" s="493" t="n"/>
      <c r="V4" s="493" t="n"/>
      <c r="W4" s="493" t="n"/>
      <c r="X4" s="493" t="n"/>
      <c r="Y4" s="493" t="n"/>
      <c r="Z4" s="493" t="n"/>
      <c r="AA4" s="493" t="n"/>
    </row>
    <row r="5" ht="15.75" customHeight="1" s="408">
      <c r="A5" s="493" t="n"/>
      <c r="B5" s="494">
        <f>B4+1</f>
        <v/>
      </c>
      <c r="C5" s="495" t="n"/>
      <c r="D5" s="494" t="inlineStr">
        <is>
          <t>Pass</t>
        </is>
      </c>
      <c r="E5" s="494" t="inlineStr">
        <is>
          <t>Đã pass</t>
        </is>
      </c>
      <c r="F5" s="494" t="inlineStr">
        <is>
          <t>QA/QC/Tester</t>
        </is>
      </c>
      <c r="G5" s="494" t="n"/>
      <c r="H5" s="493" t="n"/>
      <c r="I5" s="493" t="n"/>
      <c r="J5" s="493" t="n"/>
      <c r="K5" s="493" t="n"/>
      <c r="L5" s="493" t="n"/>
      <c r="M5" s="493" t="n"/>
      <c r="N5" s="493" t="n"/>
      <c r="O5" s="493" t="n"/>
      <c r="P5" s="493" t="n"/>
      <c r="Q5" s="493" t="n"/>
      <c r="R5" s="493" t="n"/>
      <c r="S5" s="493" t="n"/>
      <c r="T5" s="493" t="n"/>
      <c r="U5" s="493" t="n"/>
      <c r="V5" s="493" t="n"/>
      <c r="W5" s="493" t="n"/>
      <c r="X5" s="493" t="n"/>
      <c r="Y5" s="493" t="n"/>
      <c r="Z5" s="493" t="n"/>
      <c r="AA5" s="493" t="n"/>
    </row>
    <row r="6" ht="15.75" customHeight="1" s="408">
      <c r="A6" s="493" t="n"/>
      <c r="B6" s="494">
        <f>B5+1</f>
        <v/>
      </c>
      <c r="C6" s="495" t="n"/>
      <c r="D6" s="494" t="inlineStr">
        <is>
          <t>Fail</t>
        </is>
      </c>
      <c r="E6" s="494" t="inlineStr">
        <is>
          <t>Có lỗi - log lỗi</t>
        </is>
      </c>
      <c r="F6" s="494" t="inlineStr">
        <is>
          <t>QA/QC/Tester</t>
        </is>
      </c>
      <c r="G6" s="494" t="n"/>
      <c r="H6" s="493" t="n"/>
      <c r="I6" s="493" t="n"/>
      <c r="J6" s="493" t="n"/>
      <c r="K6" s="493" t="n"/>
      <c r="L6" s="493" t="n"/>
      <c r="M6" s="493" t="n"/>
      <c r="N6" s="493" t="n"/>
      <c r="O6" s="493" t="n"/>
      <c r="P6" s="493" t="n"/>
      <c r="Q6" s="493" t="n"/>
      <c r="R6" s="493" t="n"/>
      <c r="S6" s="493" t="n"/>
      <c r="T6" s="493" t="n"/>
      <c r="U6" s="493" t="n"/>
      <c r="V6" s="493" t="n"/>
      <c r="W6" s="493" t="n"/>
      <c r="X6" s="493" t="n"/>
      <c r="Y6" s="493" t="n"/>
      <c r="Z6" s="493" t="n"/>
      <c r="AA6" s="493" t="n"/>
    </row>
    <row r="7" ht="15.75" customHeight="1" s="408">
      <c r="A7" s="493" t="n"/>
      <c r="B7" s="494">
        <f>B6+1</f>
        <v/>
      </c>
      <c r="C7" s="495" t="n"/>
      <c r="D7" s="494" t="inlineStr">
        <is>
          <t>Pending</t>
        </is>
      </c>
      <c r="E7" s="494" t="inlineStr">
        <is>
          <t>Dừng test do chưa đủ điều kiện, dữ kiện/ kịch bản thiết sót/ chờ xác nhận</t>
        </is>
      </c>
      <c r="F7" s="494" t="inlineStr">
        <is>
          <t>QA/QC/Tester</t>
        </is>
      </c>
      <c r="G7" s="494" t="n"/>
      <c r="H7" s="493" t="n"/>
      <c r="I7" s="493" t="n"/>
      <c r="J7" s="493" t="n"/>
      <c r="K7" s="493" t="n"/>
      <c r="L7" s="493" t="n"/>
      <c r="M7" s="493" t="n"/>
      <c r="N7" s="493" t="n"/>
      <c r="O7" s="493" t="n"/>
      <c r="P7" s="493" t="n"/>
      <c r="Q7" s="493" t="n"/>
      <c r="R7" s="493" t="n"/>
      <c r="S7" s="493" t="n"/>
      <c r="T7" s="493" t="n"/>
      <c r="U7" s="493" t="n"/>
      <c r="V7" s="493" t="n"/>
      <c r="W7" s="493" t="n"/>
      <c r="X7" s="493" t="n"/>
      <c r="Y7" s="493" t="n"/>
      <c r="Z7" s="493" t="n"/>
      <c r="AA7" s="493" t="n"/>
    </row>
    <row r="8" ht="15.75" customHeight="1" s="408">
      <c r="A8" s="493" t="n"/>
      <c r="B8" s="494">
        <f>B7+1</f>
        <v/>
      </c>
      <c r="C8" s="495" t="n"/>
      <c r="D8" s="494" t="inlineStr">
        <is>
          <t>Re-Test</t>
        </is>
      </c>
      <c r="E8" s="494" t="inlineStr">
        <is>
          <t>Cần test lại sau quá trình Dev fixed</t>
        </is>
      </c>
      <c r="F8" s="494" t="inlineStr">
        <is>
          <t>QA/QC/Tester</t>
        </is>
      </c>
      <c r="G8" s="494" t="n"/>
      <c r="H8" s="493" t="n"/>
      <c r="I8" s="493" t="n"/>
      <c r="J8" s="493" t="n"/>
      <c r="K8" s="493" t="n"/>
      <c r="L8" s="493" t="n"/>
      <c r="M8" s="493" t="n"/>
      <c r="N8" s="493" t="n"/>
      <c r="O8" s="493" t="n"/>
      <c r="P8" s="493" t="n"/>
      <c r="Q8" s="493" t="n"/>
      <c r="R8" s="493" t="n"/>
      <c r="S8" s="493" t="n"/>
      <c r="T8" s="493" t="n"/>
      <c r="U8" s="493" t="n"/>
      <c r="V8" s="493" t="n"/>
      <c r="W8" s="493" t="n"/>
      <c r="X8" s="493" t="n"/>
      <c r="Y8" s="493" t="n"/>
      <c r="Z8" s="493" t="n"/>
      <c r="AA8" s="493" t="n"/>
    </row>
    <row r="9" ht="15.75" customHeight="1" s="408">
      <c r="A9" s="493" t="n"/>
      <c r="B9" s="494">
        <f>B8+1</f>
        <v/>
      </c>
      <c r="C9" s="496" t="n"/>
      <c r="D9" s="494" t="inlineStr">
        <is>
          <t>N/A</t>
        </is>
      </c>
      <c r="E9" s="494" t="inlineStr">
        <is>
          <t>Không test - do không trong scope test</t>
        </is>
      </c>
      <c r="F9" s="494" t="inlineStr">
        <is>
          <t>QA/QC/Tester</t>
        </is>
      </c>
      <c r="G9" s="494" t="n"/>
      <c r="H9" s="493" t="n"/>
      <c r="I9" s="493" t="n"/>
      <c r="J9" s="493" t="n"/>
      <c r="K9" s="493" t="n"/>
      <c r="L9" s="493" t="n"/>
      <c r="M9" s="493" t="n"/>
      <c r="N9" s="493" t="n"/>
      <c r="O9" s="493" t="n"/>
      <c r="P9" s="493" t="n"/>
      <c r="Q9" s="493" t="n"/>
      <c r="R9" s="493" t="n"/>
      <c r="S9" s="493" t="n"/>
      <c r="T9" s="493" t="n"/>
      <c r="U9" s="493" t="n"/>
      <c r="V9" s="493" t="n"/>
      <c r="W9" s="493" t="n"/>
      <c r="X9" s="493" t="n"/>
      <c r="Y9" s="493" t="n"/>
      <c r="Z9" s="493" t="n"/>
      <c r="AA9" s="493" t="n"/>
    </row>
    <row r="10" ht="15.75" customHeight="1" s="408">
      <c r="A10" s="493" t="n"/>
      <c r="B10" s="494">
        <f>B9+1</f>
        <v/>
      </c>
      <c r="C10" s="407" t="n"/>
      <c r="D10" s="494" t="inlineStr">
        <is>
          <t>Priority</t>
        </is>
      </c>
      <c r="E10" s="494" t="inlineStr">
        <is>
          <t>Mức độ ưu tiên của test case</t>
        </is>
      </c>
      <c r="F10" s="494" t="inlineStr">
        <is>
          <t>QA/QC/Tester</t>
        </is>
      </c>
      <c r="G10" s="494" t="n"/>
      <c r="H10" s="493" t="n"/>
      <c r="I10" s="493" t="n"/>
      <c r="J10" s="493" t="n"/>
      <c r="K10" s="493" t="n"/>
      <c r="L10" s="493" t="n"/>
      <c r="M10" s="493" t="n"/>
      <c r="N10" s="493" t="n"/>
      <c r="O10" s="493" t="n"/>
      <c r="P10" s="493" t="n"/>
      <c r="Q10" s="493" t="n"/>
      <c r="R10" s="493" t="n"/>
      <c r="S10" s="493" t="n"/>
      <c r="T10" s="493" t="n"/>
      <c r="U10" s="493" t="n"/>
      <c r="V10" s="493" t="n"/>
      <c r="W10" s="493" t="n"/>
      <c r="X10" s="493" t="n"/>
      <c r="Y10" s="493" t="n"/>
      <c r="Z10" s="493" t="n"/>
      <c r="AA10" s="493" t="n"/>
    </row>
    <row r="11" ht="15.75" customHeight="1" s="408">
      <c r="A11" s="493" t="n"/>
      <c r="B11" s="494">
        <f>B10+1</f>
        <v/>
      </c>
      <c r="C11" s="494" t="inlineStr">
        <is>
          <t>Priority</t>
        </is>
      </c>
      <c r="D11" s="494" t="inlineStr">
        <is>
          <t>High</t>
        </is>
      </c>
      <c r="E11" s="494" t="inlineStr">
        <is>
          <t>Là những TCs là chức năng chính và happy cases</t>
        </is>
      </c>
      <c r="F11" s="494" t="inlineStr">
        <is>
          <t>QA/QC/Tester</t>
        </is>
      </c>
      <c r="G11" s="494" t="n"/>
      <c r="H11" s="493" t="n"/>
      <c r="I11" s="493" t="n"/>
      <c r="J11" s="493" t="n"/>
      <c r="K11" s="493" t="n"/>
      <c r="L11" s="493" t="n"/>
      <c r="M11" s="493" t="n"/>
      <c r="N11" s="493" t="n"/>
      <c r="O11" s="493" t="n"/>
      <c r="P11" s="493" t="n"/>
      <c r="Q11" s="493" t="n"/>
      <c r="R11" s="493" t="n"/>
      <c r="S11" s="493" t="n"/>
      <c r="T11" s="493" t="n"/>
      <c r="U11" s="493" t="n"/>
      <c r="V11" s="493" t="n"/>
      <c r="W11" s="493" t="n"/>
      <c r="X11" s="493" t="n"/>
      <c r="Y11" s="493" t="n"/>
      <c r="Z11" s="493" t="n"/>
      <c r="AA11" s="493" t="n"/>
    </row>
    <row r="12" ht="15.75" customHeight="1" s="408">
      <c r="A12" s="493" t="n"/>
      <c r="B12" s="494">
        <f>B11+1</f>
        <v/>
      </c>
      <c r="C12" s="495" t="n"/>
      <c r="D12" s="494" t="inlineStr">
        <is>
          <t>Medium</t>
        </is>
      </c>
      <c r="E12" s="494" t="inlineStr">
        <is>
          <t>Là những TCs là chức năng validate</t>
        </is>
      </c>
      <c r="F12" s="494" t="inlineStr">
        <is>
          <t>QA/QC/Tester</t>
        </is>
      </c>
      <c r="G12" s="494" t="n"/>
      <c r="H12" s="493" t="n"/>
      <c r="I12" s="493" t="n"/>
      <c r="J12" s="493" t="n"/>
      <c r="K12" s="493" t="n"/>
      <c r="L12" s="493" t="n"/>
      <c r="M12" s="493" t="n"/>
      <c r="N12" s="493" t="n"/>
      <c r="O12" s="493" t="n"/>
      <c r="P12" s="493" t="n"/>
      <c r="Q12" s="493" t="n"/>
      <c r="R12" s="493" t="n"/>
      <c r="S12" s="493" t="n"/>
      <c r="T12" s="493" t="n"/>
      <c r="U12" s="493" t="n"/>
      <c r="V12" s="493" t="n"/>
      <c r="W12" s="493" t="n"/>
      <c r="X12" s="493" t="n"/>
      <c r="Y12" s="493" t="n"/>
      <c r="Z12" s="493" t="n"/>
      <c r="AA12" s="493" t="n"/>
    </row>
    <row r="13" ht="15.75" customHeight="1" s="408">
      <c r="A13" s="493" t="n"/>
      <c r="B13" s="494">
        <f>B12+1</f>
        <v/>
      </c>
      <c r="C13" s="496" t="n"/>
      <c r="D13" s="497" t="inlineStr">
        <is>
          <t>Low</t>
        </is>
      </c>
      <c r="E13" s="494" t="inlineStr">
        <is>
          <t>Là những TCs là check giao diện</t>
        </is>
      </c>
      <c r="F13" s="494" t="inlineStr">
        <is>
          <t>QA/QC/Tester</t>
        </is>
      </c>
      <c r="G13" s="494" t="n"/>
      <c r="H13" s="493" t="n"/>
      <c r="I13" s="493" t="n"/>
      <c r="J13" s="493" t="n"/>
      <c r="K13" s="493" t="n"/>
      <c r="L13" s="493" t="n"/>
      <c r="M13" s="493" t="n"/>
      <c r="N13" s="493" t="n"/>
      <c r="O13" s="493" t="n"/>
      <c r="P13" s="493" t="n"/>
      <c r="Q13" s="493" t="n"/>
      <c r="R13" s="493" t="n"/>
      <c r="S13" s="493" t="n"/>
      <c r="T13" s="493" t="n"/>
      <c r="U13" s="493" t="n"/>
      <c r="V13" s="493" t="n"/>
      <c r="W13" s="493" t="n"/>
      <c r="X13" s="493" t="n"/>
      <c r="Y13" s="493" t="n"/>
      <c r="Z13" s="493" t="n"/>
      <c r="AA13" s="493" t="n"/>
    </row>
    <row r="14" ht="15.75" customHeight="1" s="408">
      <c r="A14" s="493" t="n"/>
      <c r="B14" s="494">
        <f>B13+1</f>
        <v/>
      </c>
      <c r="C14" s="498" t="n"/>
      <c r="D14" s="494" t="inlineStr">
        <is>
          <t>Precondition</t>
        </is>
      </c>
      <c r="E14" s="494" t="inlineStr">
        <is>
          <t>Tiền điều kiện - Điều kiện này cần có để thực hiện được ý nghĩa test case đưa ra</t>
        </is>
      </c>
      <c r="F14" s="494" t="inlineStr">
        <is>
          <t>QA/QC/Tester</t>
        </is>
      </c>
      <c r="G14" s="494" t="n"/>
      <c r="H14" s="493" t="n"/>
      <c r="I14" s="493" t="n"/>
      <c r="J14" s="493" t="n"/>
      <c r="K14" s="493" t="n"/>
      <c r="L14" s="493" t="n"/>
      <c r="M14" s="493" t="n"/>
      <c r="N14" s="493" t="n"/>
      <c r="O14" s="493" t="n"/>
      <c r="P14" s="493" t="n"/>
      <c r="Q14" s="493" t="n"/>
      <c r="R14" s="493" t="n"/>
      <c r="S14" s="493" t="n"/>
      <c r="T14" s="493" t="n"/>
      <c r="U14" s="493" t="n"/>
      <c r="V14" s="493" t="n"/>
      <c r="W14" s="493" t="n"/>
      <c r="X14" s="493" t="n"/>
      <c r="Y14" s="493" t="n"/>
      <c r="Z14" s="493" t="n"/>
      <c r="AA14" s="493" t="n"/>
    </row>
    <row r="15" ht="15.75" customHeight="1" s="408">
      <c r="A15" s="493" t="n"/>
      <c r="B15" s="494">
        <f>B14+1</f>
        <v/>
      </c>
      <c r="C15" s="498" t="n"/>
      <c r="D15" s="494" t="inlineStr">
        <is>
          <t>Test data</t>
        </is>
      </c>
      <c r="E15" s="494" t="inlineStr">
        <is>
          <t>Dữ liệu nhập vào test - tương ứng với mỗi trường thông tin</t>
        </is>
      </c>
      <c r="F15" s="494" t="inlineStr">
        <is>
          <t>QA/QC/Tester</t>
        </is>
      </c>
      <c r="G15" s="494" t="n"/>
      <c r="H15" s="493" t="n"/>
      <c r="I15" s="493" t="n"/>
      <c r="J15" s="493" t="n"/>
      <c r="K15" s="493" t="n"/>
      <c r="L15" s="493" t="n"/>
      <c r="M15" s="493" t="n"/>
      <c r="N15" s="493" t="n"/>
      <c r="O15" s="493" t="n"/>
      <c r="P15" s="493" t="n"/>
      <c r="Q15" s="493" t="n"/>
      <c r="R15" s="493" t="n"/>
      <c r="S15" s="493" t="n"/>
      <c r="T15" s="493" t="n"/>
      <c r="U15" s="493" t="n"/>
      <c r="V15" s="493" t="n"/>
      <c r="W15" s="493" t="n"/>
      <c r="X15" s="493" t="n"/>
      <c r="Y15" s="493" t="n"/>
      <c r="Z15" s="493" t="n"/>
      <c r="AA15" s="493" t="n"/>
    </row>
    <row r="16" ht="15.75" customHeight="1" s="408">
      <c r="A16" s="493" t="n"/>
      <c r="B16" s="494">
        <f>B15+1</f>
        <v/>
      </c>
      <c r="C16" s="498" t="n"/>
      <c r="D16" s="494" t="inlineStr">
        <is>
          <t>Untested</t>
        </is>
      </c>
      <c r="E16" s="494" t="inlineStr">
        <is>
          <t>Chưa được kiểm tra</t>
        </is>
      </c>
      <c r="F16" s="494" t="inlineStr">
        <is>
          <t>QA/QC/Tester</t>
        </is>
      </c>
      <c r="G16" s="494" t="n"/>
      <c r="H16" s="493" t="n"/>
      <c r="I16" s="493" t="n"/>
      <c r="J16" s="493" t="n"/>
      <c r="K16" s="493" t="n"/>
      <c r="L16" s="493" t="n"/>
      <c r="M16" s="493" t="n"/>
      <c r="N16" s="493" t="n"/>
      <c r="O16" s="493" t="n"/>
      <c r="P16" s="493" t="n"/>
      <c r="Q16" s="493" t="n"/>
      <c r="R16" s="493" t="n"/>
      <c r="S16" s="493" t="n"/>
      <c r="T16" s="493" t="n"/>
      <c r="U16" s="493" t="n"/>
      <c r="V16" s="493" t="n"/>
      <c r="W16" s="493" t="n"/>
      <c r="X16" s="493" t="n"/>
      <c r="Y16" s="493" t="n"/>
      <c r="Z16" s="493" t="n"/>
      <c r="AA16" s="493" t="n"/>
    </row>
    <row r="17" ht="15.75" customHeight="1" s="408">
      <c r="A17" s="493" t="n"/>
      <c r="B17" s="494">
        <f>B16+1</f>
        <v/>
      </c>
      <c r="C17" s="494" t="n"/>
      <c r="D17" s="494" t="inlineStr">
        <is>
          <t>Next Release/Next Version</t>
        </is>
      </c>
      <c r="E17" s="494" t="inlineStr">
        <is>
          <t>Phiên bản tiếp theo</t>
        </is>
      </c>
      <c r="F17" s="494" t="inlineStr">
        <is>
          <t>QA/QC/Tester/Dev</t>
        </is>
      </c>
      <c r="G17" s="494" t="n"/>
      <c r="H17" s="493" t="n"/>
      <c r="I17" s="493" t="n"/>
      <c r="J17" s="493" t="n"/>
      <c r="K17" s="493" t="n"/>
      <c r="L17" s="493" t="n"/>
      <c r="M17" s="493" t="n"/>
      <c r="N17" s="493" t="n"/>
      <c r="O17" s="493" t="n"/>
      <c r="P17" s="493" t="n"/>
      <c r="Q17" s="493" t="n"/>
      <c r="R17" s="493" t="n"/>
      <c r="S17" s="493" t="n"/>
      <c r="T17" s="493" t="n"/>
      <c r="U17" s="493" t="n"/>
      <c r="V17" s="493" t="n"/>
      <c r="W17" s="493" t="n"/>
      <c r="X17" s="493" t="n"/>
      <c r="Y17" s="493" t="n"/>
      <c r="Z17" s="493" t="n"/>
      <c r="AA17" s="493" t="n"/>
    </row>
    <row r="18" ht="15.75" customHeight="1" s="408">
      <c r="A18" s="493" t="n"/>
      <c r="B18" s="494">
        <f>B17+1</f>
        <v/>
      </c>
      <c r="C18" s="494" t="n"/>
      <c r="D18" s="494" t="inlineStr">
        <is>
          <t>Resolved</t>
        </is>
      </c>
      <c r="E18" s="494" t="inlineStr">
        <is>
          <t>Đã giải quyết - thường dùng diễn đạt những Q&amp;A đã giải quyết</t>
        </is>
      </c>
      <c r="F18" s="494" t="inlineStr">
        <is>
          <t>QA/QC/Tester/Dev</t>
        </is>
      </c>
      <c r="G18" s="494" t="n"/>
      <c r="H18" s="493" t="n"/>
      <c r="I18" s="493" t="n"/>
      <c r="J18" s="493" t="n"/>
      <c r="K18" s="493" t="n"/>
      <c r="L18" s="493" t="n"/>
      <c r="M18" s="493" t="n"/>
      <c r="N18" s="493" t="n"/>
      <c r="O18" s="493" t="n"/>
      <c r="P18" s="493" t="n"/>
      <c r="Q18" s="493" t="n"/>
      <c r="R18" s="493" t="n"/>
      <c r="S18" s="493" t="n"/>
      <c r="T18" s="493" t="n"/>
      <c r="U18" s="493" t="n"/>
      <c r="V18" s="493" t="n"/>
      <c r="W18" s="493" t="n"/>
      <c r="X18" s="493" t="n"/>
      <c r="Y18" s="493" t="n"/>
      <c r="Z18" s="493" t="n"/>
      <c r="AA18" s="493" t="n"/>
    </row>
    <row r="19" ht="15.75" customHeight="1" s="408">
      <c r="A19" s="493" t="n"/>
      <c r="B19" s="494">
        <f>B18+1</f>
        <v/>
      </c>
      <c r="C19" s="494" t="n"/>
      <c r="D19" s="499" t="inlineStr">
        <is>
          <t xml:space="preserve">Validate </t>
        </is>
      </c>
      <c r="E19" s="494" t="inlineStr">
        <is>
          <t>Kiểm tra xác nhận hợp lệ - không hợp lệ ; Xác nhận với mỗi field</t>
        </is>
      </c>
      <c r="F19" s="494" t="inlineStr">
        <is>
          <t>QA/QC/Tester/Dev</t>
        </is>
      </c>
      <c r="G19" s="494" t="n"/>
      <c r="H19" s="493" t="n"/>
      <c r="I19" s="493" t="n"/>
      <c r="J19" s="493" t="n"/>
      <c r="K19" s="493" t="n"/>
      <c r="L19" s="493" t="n"/>
      <c r="M19" s="493" t="n"/>
      <c r="N19" s="493" t="n"/>
      <c r="O19" s="493" t="n"/>
      <c r="P19" s="493" t="n"/>
      <c r="Q19" s="493" t="n"/>
      <c r="R19" s="493" t="n"/>
      <c r="S19" s="493" t="n"/>
      <c r="T19" s="493" t="n"/>
      <c r="U19" s="493" t="n"/>
      <c r="V19" s="493" t="n"/>
      <c r="W19" s="493" t="n"/>
      <c r="X19" s="493" t="n"/>
      <c r="Y19" s="493" t="n"/>
      <c r="Z19" s="493" t="n"/>
      <c r="AA19" s="493" t="n"/>
    </row>
    <row r="20" ht="15.75" customHeight="1" s="408">
      <c r="A20" s="493" t="n"/>
      <c r="B20" s="494">
        <f>B19+1</f>
        <v/>
      </c>
      <c r="C20" s="494" t="n"/>
      <c r="D20" s="494" t="n"/>
      <c r="E20" s="494" t="n"/>
      <c r="F20" s="494" t="n"/>
      <c r="G20" s="494" t="n"/>
      <c r="H20" s="493" t="n"/>
      <c r="I20" s="493" t="n"/>
      <c r="J20" s="493" t="n"/>
      <c r="K20" s="493" t="n"/>
      <c r="L20" s="493" t="n"/>
      <c r="M20" s="493" t="n"/>
      <c r="N20" s="493" t="n"/>
      <c r="O20" s="493" t="n"/>
      <c r="P20" s="493" t="n"/>
      <c r="Q20" s="493" t="n"/>
      <c r="R20" s="493" t="n"/>
      <c r="S20" s="493" t="n"/>
      <c r="T20" s="493" t="n"/>
      <c r="U20" s="493" t="n"/>
      <c r="V20" s="493" t="n"/>
      <c r="W20" s="493" t="n"/>
      <c r="X20" s="493" t="n"/>
      <c r="Y20" s="493" t="n"/>
      <c r="Z20" s="493" t="n"/>
      <c r="AA20" s="493" t="n"/>
    </row>
    <row r="21" ht="15.75" customHeight="1" s="408">
      <c r="A21" s="493" t="n"/>
      <c r="B21" s="494">
        <f>B20+1</f>
        <v/>
      </c>
      <c r="C21" s="494" t="n"/>
      <c r="D21" s="494" t="n"/>
      <c r="E21" s="494" t="n"/>
      <c r="F21" s="494" t="n"/>
      <c r="G21" s="494" t="n"/>
      <c r="H21" s="493" t="n"/>
      <c r="I21" s="493" t="n"/>
      <c r="J21" s="493" t="n"/>
      <c r="K21" s="493" t="n"/>
      <c r="L21" s="493" t="n"/>
      <c r="M21" s="493" t="n"/>
      <c r="N21" s="493" t="n"/>
      <c r="O21" s="493" t="n"/>
      <c r="P21" s="493" t="n"/>
      <c r="Q21" s="493" t="n"/>
      <c r="R21" s="493" t="n"/>
      <c r="S21" s="493" t="n"/>
      <c r="T21" s="493" t="n"/>
      <c r="U21" s="493" t="n"/>
      <c r="V21" s="493" t="n"/>
      <c r="W21" s="493" t="n"/>
      <c r="X21" s="493" t="n"/>
      <c r="Y21" s="493" t="n"/>
      <c r="Z21" s="493" t="n"/>
      <c r="AA21" s="493" t="n"/>
    </row>
    <row r="22" ht="15.75" customHeight="1" s="408">
      <c r="A22" s="493" t="n"/>
      <c r="B22" s="494">
        <f>B21+1</f>
        <v/>
      </c>
      <c r="C22" s="494" t="n"/>
      <c r="D22" s="494" t="n"/>
      <c r="E22" s="494" t="n"/>
      <c r="F22" s="494" t="n"/>
      <c r="G22" s="494" t="n"/>
      <c r="H22" s="493" t="n"/>
      <c r="I22" s="493" t="n"/>
      <c r="J22" s="493" t="n"/>
      <c r="K22" s="493" t="n"/>
      <c r="L22" s="493" t="n"/>
      <c r="M22" s="493" t="n"/>
      <c r="N22" s="493" t="n"/>
      <c r="O22" s="493" t="n"/>
      <c r="P22" s="493" t="n"/>
      <c r="Q22" s="493" t="n"/>
      <c r="R22" s="493" t="n"/>
      <c r="S22" s="493" t="n"/>
      <c r="T22" s="493" t="n"/>
      <c r="U22" s="493" t="n"/>
      <c r="V22" s="493" t="n"/>
      <c r="W22" s="493" t="n"/>
      <c r="X22" s="493" t="n"/>
      <c r="Y22" s="493" t="n"/>
      <c r="Z22" s="493" t="n"/>
      <c r="AA22" s="493" t="n"/>
    </row>
    <row r="23" ht="15.75" customHeight="1" s="408">
      <c r="A23" s="493" t="n"/>
      <c r="B23" s="493" t="n"/>
      <c r="C23" s="493" t="n"/>
      <c r="D23" s="493" t="n"/>
      <c r="E23" s="493" t="n"/>
      <c r="F23" s="493" t="n"/>
      <c r="G23" s="493" t="n"/>
      <c r="H23" s="493" t="n"/>
      <c r="I23" s="493" t="n"/>
      <c r="J23" s="493" t="n"/>
      <c r="K23" s="493" t="n"/>
      <c r="L23" s="493" t="n"/>
      <c r="M23" s="493" t="n"/>
      <c r="N23" s="493" t="n"/>
      <c r="O23" s="493" t="n"/>
      <c r="P23" s="493" t="n"/>
      <c r="Q23" s="493" t="n"/>
      <c r="R23" s="493" t="n"/>
      <c r="S23" s="493" t="n"/>
      <c r="T23" s="493" t="n"/>
      <c r="U23" s="493" t="n"/>
      <c r="V23" s="493" t="n"/>
      <c r="W23" s="493" t="n"/>
      <c r="X23" s="493" t="n"/>
      <c r="Y23" s="493" t="n"/>
      <c r="Z23" s="493" t="n"/>
      <c r="AA23" s="493" t="n"/>
    </row>
    <row r="24" ht="15.75" customHeight="1" s="408">
      <c r="A24" s="493" t="n"/>
      <c r="B24" s="493" t="n"/>
      <c r="C24" s="493" t="n"/>
      <c r="D24" s="493" t="n"/>
      <c r="E24" s="493" t="n"/>
      <c r="F24" s="493" t="n"/>
      <c r="G24" s="493" t="n"/>
      <c r="H24" s="493" t="n"/>
      <c r="I24" s="493" t="n"/>
      <c r="J24" s="493" t="n"/>
      <c r="K24" s="493" t="n"/>
      <c r="L24" s="493" t="n"/>
      <c r="M24" s="493" t="n"/>
      <c r="N24" s="493" t="n"/>
      <c r="O24" s="493" t="n"/>
      <c r="P24" s="493" t="n"/>
      <c r="Q24" s="493" t="n"/>
      <c r="R24" s="493" t="n"/>
      <c r="S24" s="493" t="n"/>
      <c r="T24" s="493" t="n"/>
      <c r="U24" s="493" t="n"/>
      <c r="V24" s="493" t="n"/>
      <c r="W24" s="493" t="n"/>
      <c r="X24" s="493" t="n"/>
      <c r="Y24" s="493" t="n"/>
      <c r="Z24" s="493" t="n"/>
      <c r="AA24" s="493" t="n"/>
    </row>
    <row r="25" ht="15.75" customHeight="1" s="408">
      <c r="A25" s="493" t="n"/>
      <c r="B25" s="493" t="n"/>
      <c r="C25" s="493" t="n"/>
      <c r="D25" s="493" t="n"/>
      <c r="E25" s="493" t="n"/>
      <c r="F25" s="493" t="n"/>
      <c r="G25" s="493" t="n"/>
      <c r="H25" s="493" t="n"/>
      <c r="I25" s="493" t="n"/>
      <c r="J25" s="493" t="n"/>
      <c r="K25" s="493" t="n"/>
      <c r="L25" s="493" t="n"/>
      <c r="M25" s="493" t="n"/>
      <c r="N25" s="493" t="n"/>
      <c r="O25" s="493" t="n"/>
      <c r="P25" s="493" t="n"/>
      <c r="Q25" s="493" t="n"/>
      <c r="R25" s="493" t="n"/>
      <c r="S25" s="493" t="n"/>
      <c r="T25" s="493" t="n"/>
      <c r="U25" s="493" t="n"/>
      <c r="V25" s="493" t="n"/>
      <c r="W25" s="493" t="n"/>
      <c r="X25" s="493" t="n"/>
      <c r="Y25" s="493" t="n"/>
      <c r="Z25" s="493" t="n"/>
      <c r="AA25" s="493" t="n"/>
    </row>
    <row r="26" ht="15.75" customHeight="1" s="408">
      <c r="A26" s="493" t="n"/>
      <c r="B26" s="493" t="n"/>
      <c r="C26" s="493" t="n"/>
      <c r="D26" s="493" t="n"/>
      <c r="E26" s="493" t="n"/>
      <c r="F26" s="493" t="n"/>
      <c r="G26" s="493" t="n"/>
      <c r="H26" s="493" t="n"/>
      <c r="I26" s="493" t="n"/>
      <c r="J26" s="493" t="n"/>
      <c r="K26" s="493" t="n"/>
      <c r="L26" s="493" t="n"/>
      <c r="M26" s="493" t="n"/>
      <c r="N26" s="493" t="n"/>
      <c r="O26" s="493" t="n"/>
      <c r="P26" s="493" t="n"/>
      <c r="Q26" s="493" t="n"/>
      <c r="R26" s="493" t="n"/>
      <c r="S26" s="493" t="n"/>
      <c r="T26" s="493" t="n"/>
      <c r="U26" s="493" t="n"/>
      <c r="V26" s="493" t="n"/>
      <c r="W26" s="493" t="n"/>
      <c r="X26" s="493" t="n"/>
      <c r="Y26" s="493" t="n"/>
      <c r="Z26" s="493" t="n"/>
      <c r="AA26" s="493" t="n"/>
    </row>
    <row r="27" ht="15.75" customHeight="1" s="408">
      <c r="A27" s="493" t="n"/>
      <c r="B27" s="493" t="n"/>
      <c r="C27" s="493" t="n"/>
      <c r="D27" s="493" t="n"/>
      <c r="E27" s="493" t="n"/>
      <c r="F27" s="493" t="n"/>
      <c r="G27" s="493" t="n"/>
      <c r="H27" s="493" t="n"/>
      <c r="I27" s="493" t="n"/>
      <c r="J27" s="493" t="n"/>
      <c r="K27" s="493" t="n"/>
      <c r="L27" s="493" t="n"/>
      <c r="M27" s="493" t="n"/>
      <c r="N27" s="493" t="n"/>
      <c r="O27" s="493" t="n"/>
      <c r="P27" s="493" t="n"/>
      <c r="Q27" s="493" t="n"/>
      <c r="R27" s="493" t="n"/>
      <c r="S27" s="493" t="n"/>
      <c r="T27" s="493" t="n"/>
      <c r="U27" s="493" t="n"/>
      <c r="V27" s="493" t="n"/>
      <c r="W27" s="493" t="n"/>
      <c r="X27" s="493" t="n"/>
      <c r="Y27" s="493" t="n"/>
      <c r="Z27" s="493" t="n"/>
      <c r="AA27" s="493" t="n"/>
    </row>
    <row r="28" ht="15.75" customHeight="1" s="408">
      <c r="A28" s="493" t="n"/>
      <c r="B28" s="493" t="n"/>
      <c r="C28" s="493" t="n"/>
      <c r="D28" s="493" t="n"/>
      <c r="E28" s="493" t="n"/>
      <c r="F28" s="493" t="n"/>
      <c r="G28" s="493" t="n"/>
      <c r="H28" s="493" t="n"/>
      <c r="I28" s="493" t="n"/>
      <c r="J28" s="493" t="n"/>
      <c r="K28" s="493" t="n"/>
      <c r="L28" s="493" t="n"/>
      <c r="M28" s="493" t="n"/>
      <c r="N28" s="493" t="n"/>
      <c r="O28" s="493" t="n"/>
      <c r="P28" s="493" t="n"/>
      <c r="Q28" s="493" t="n"/>
      <c r="R28" s="493" t="n"/>
      <c r="S28" s="493" t="n"/>
      <c r="T28" s="493" t="n"/>
      <c r="U28" s="493" t="n"/>
      <c r="V28" s="493" t="n"/>
      <c r="W28" s="493" t="n"/>
      <c r="X28" s="493" t="n"/>
      <c r="Y28" s="493" t="n"/>
      <c r="Z28" s="493" t="n"/>
      <c r="AA28" s="493" t="n"/>
    </row>
    <row r="29" ht="15.75" customHeight="1" s="408">
      <c r="A29" s="493" t="n"/>
      <c r="B29" s="493" t="n"/>
      <c r="C29" s="493" t="n"/>
      <c r="D29" s="493" t="n"/>
      <c r="E29" s="493" t="n"/>
      <c r="F29" s="493" t="n"/>
      <c r="G29" s="493" t="n"/>
      <c r="H29" s="493" t="n"/>
      <c r="I29" s="493" t="n"/>
      <c r="J29" s="493" t="n"/>
      <c r="K29" s="493" t="n"/>
      <c r="L29" s="493" t="n"/>
      <c r="M29" s="493" t="n"/>
      <c r="N29" s="493" t="n"/>
      <c r="O29" s="493" t="n"/>
      <c r="P29" s="493" t="n"/>
      <c r="Q29" s="493" t="n"/>
      <c r="R29" s="493" t="n"/>
      <c r="S29" s="493" t="n"/>
      <c r="T29" s="493" t="n"/>
      <c r="U29" s="493" t="n"/>
      <c r="V29" s="493" t="n"/>
      <c r="W29" s="493" t="n"/>
      <c r="X29" s="493" t="n"/>
      <c r="Y29" s="493" t="n"/>
      <c r="Z29" s="493" t="n"/>
      <c r="AA29" s="493" t="n"/>
    </row>
    <row r="30" ht="15.75" customHeight="1" s="408">
      <c r="A30" s="493" t="n"/>
      <c r="B30" s="493" t="n"/>
      <c r="C30" s="493" t="n"/>
      <c r="D30" s="493" t="n"/>
      <c r="E30" s="493" t="n"/>
      <c r="F30" s="493" t="n"/>
      <c r="G30" s="493" t="n"/>
      <c r="H30" s="493" t="n"/>
      <c r="I30" s="493" t="n"/>
      <c r="J30" s="493" t="n"/>
      <c r="K30" s="493" t="n"/>
      <c r="L30" s="493" t="n"/>
      <c r="M30" s="493" t="n"/>
      <c r="N30" s="493" t="n"/>
      <c r="O30" s="493" t="n"/>
      <c r="P30" s="493" t="n"/>
      <c r="Q30" s="493" t="n"/>
      <c r="R30" s="493" t="n"/>
      <c r="S30" s="493" t="n"/>
      <c r="T30" s="493" t="n"/>
      <c r="U30" s="493" t="n"/>
      <c r="V30" s="493" t="n"/>
      <c r="W30" s="493" t="n"/>
      <c r="X30" s="493" t="n"/>
      <c r="Y30" s="493" t="n"/>
      <c r="Z30" s="493" t="n"/>
      <c r="AA30" s="493" t="n"/>
    </row>
    <row r="31" ht="15.75" customHeight="1" s="408">
      <c r="A31" s="493" t="n"/>
      <c r="B31" s="493" t="n"/>
      <c r="C31" s="493" t="n"/>
      <c r="D31" s="493" t="n"/>
      <c r="E31" s="493" t="n"/>
      <c r="F31" s="493" t="n"/>
      <c r="G31" s="493" t="n"/>
      <c r="H31" s="493" t="n"/>
      <c r="I31" s="493" t="n"/>
      <c r="J31" s="493" t="n"/>
      <c r="K31" s="493" t="n"/>
      <c r="L31" s="493" t="n"/>
      <c r="M31" s="493" t="n"/>
      <c r="N31" s="493" t="n"/>
      <c r="O31" s="493" t="n"/>
      <c r="P31" s="493" t="n"/>
      <c r="Q31" s="493" t="n"/>
      <c r="R31" s="493" t="n"/>
      <c r="S31" s="493" t="n"/>
      <c r="T31" s="493" t="n"/>
      <c r="U31" s="493" t="n"/>
      <c r="V31" s="493" t="n"/>
      <c r="W31" s="493" t="n"/>
      <c r="X31" s="493" t="n"/>
      <c r="Y31" s="493" t="n"/>
      <c r="Z31" s="493" t="n"/>
      <c r="AA31" s="493" t="n"/>
    </row>
    <row r="32" ht="15.75" customHeight="1" s="408">
      <c r="A32" s="493" t="n"/>
      <c r="B32" s="493" t="n"/>
      <c r="C32" s="493" t="n"/>
      <c r="D32" s="493" t="n"/>
      <c r="E32" s="493" t="n"/>
      <c r="F32" s="493" t="n"/>
      <c r="G32" s="493" t="n"/>
      <c r="H32" s="493" t="n"/>
      <c r="I32" s="493" t="n"/>
      <c r="J32" s="493" t="n"/>
      <c r="K32" s="493" t="n"/>
      <c r="L32" s="493" t="n"/>
      <c r="M32" s="493" t="n"/>
      <c r="N32" s="493" t="n"/>
      <c r="O32" s="493" t="n"/>
      <c r="P32" s="493" t="n"/>
      <c r="Q32" s="493" t="n"/>
      <c r="R32" s="493" t="n"/>
      <c r="S32" s="493" t="n"/>
      <c r="T32" s="493" t="n"/>
      <c r="U32" s="493" t="n"/>
      <c r="V32" s="493" t="n"/>
      <c r="W32" s="493" t="n"/>
      <c r="X32" s="493" t="n"/>
      <c r="Y32" s="493" t="n"/>
      <c r="Z32" s="493" t="n"/>
      <c r="AA32" s="493" t="n"/>
    </row>
    <row r="33" ht="15.75" customHeight="1" s="408">
      <c r="A33" s="493" t="n"/>
      <c r="B33" s="493" t="n"/>
      <c r="C33" s="493" t="n"/>
      <c r="D33" s="493" t="n"/>
      <c r="E33" s="493" t="n"/>
      <c r="F33" s="493" t="n"/>
      <c r="G33" s="493" t="n"/>
      <c r="H33" s="493" t="n"/>
      <c r="I33" s="493" t="n"/>
      <c r="J33" s="493" t="n"/>
      <c r="K33" s="493" t="n"/>
      <c r="L33" s="493" t="n"/>
      <c r="M33" s="493" t="n"/>
      <c r="N33" s="493" t="n"/>
      <c r="O33" s="493" t="n"/>
      <c r="P33" s="493" t="n"/>
      <c r="Q33" s="493" t="n"/>
      <c r="R33" s="493" t="n"/>
      <c r="S33" s="493" t="n"/>
      <c r="T33" s="493" t="n"/>
      <c r="U33" s="493" t="n"/>
      <c r="V33" s="493" t="n"/>
      <c r="W33" s="493" t="n"/>
      <c r="X33" s="493" t="n"/>
      <c r="Y33" s="493" t="n"/>
      <c r="Z33" s="493" t="n"/>
      <c r="AA33" s="493" t="n"/>
    </row>
    <row r="34" ht="15.75" customHeight="1" s="408">
      <c r="A34" s="493" t="n"/>
      <c r="B34" s="493" t="n"/>
      <c r="C34" s="493" t="n"/>
      <c r="D34" s="493" t="n"/>
      <c r="E34" s="493" t="n"/>
      <c r="F34" s="493" t="n"/>
      <c r="G34" s="493" t="n"/>
      <c r="H34" s="493" t="n"/>
      <c r="I34" s="493" t="n"/>
      <c r="J34" s="493" t="n"/>
      <c r="K34" s="493" t="n"/>
      <c r="L34" s="493" t="n"/>
      <c r="M34" s="493" t="n"/>
      <c r="N34" s="493" t="n"/>
      <c r="O34" s="493" t="n"/>
      <c r="P34" s="493" t="n"/>
      <c r="Q34" s="493" t="n"/>
      <c r="R34" s="493" t="n"/>
      <c r="S34" s="493" t="n"/>
      <c r="T34" s="493" t="n"/>
      <c r="U34" s="493" t="n"/>
      <c r="V34" s="493" t="n"/>
      <c r="W34" s="493" t="n"/>
      <c r="X34" s="493" t="n"/>
      <c r="Y34" s="493" t="n"/>
      <c r="Z34" s="493" t="n"/>
      <c r="AA34" s="493" t="n"/>
    </row>
    <row r="35" ht="15.75" customHeight="1" s="408">
      <c r="A35" s="493" t="n"/>
      <c r="B35" s="493" t="n"/>
      <c r="C35" s="493" t="n"/>
      <c r="D35" s="493" t="n"/>
      <c r="E35" s="493" t="n"/>
      <c r="F35" s="493" t="n"/>
      <c r="G35" s="493" t="n"/>
      <c r="H35" s="493" t="n"/>
      <c r="I35" s="493" t="n"/>
      <c r="J35" s="493" t="n"/>
      <c r="K35" s="493" t="n"/>
      <c r="L35" s="493" t="n"/>
      <c r="M35" s="493" t="n"/>
      <c r="N35" s="493" t="n"/>
      <c r="O35" s="493" t="n"/>
      <c r="P35" s="493" t="n"/>
      <c r="Q35" s="493" t="n"/>
      <c r="R35" s="493" t="n"/>
      <c r="S35" s="493" t="n"/>
      <c r="T35" s="493" t="n"/>
      <c r="U35" s="493" t="n"/>
      <c r="V35" s="493" t="n"/>
      <c r="W35" s="493" t="n"/>
      <c r="X35" s="493" t="n"/>
      <c r="Y35" s="493" t="n"/>
      <c r="Z35" s="493" t="n"/>
      <c r="AA35" s="493" t="n"/>
    </row>
    <row r="36" ht="15.75" customHeight="1" s="408">
      <c r="A36" s="493" t="n"/>
      <c r="B36" s="493" t="n"/>
      <c r="C36" s="493" t="n"/>
      <c r="D36" s="493" t="n"/>
      <c r="E36" s="493" t="n"/>
      <c r="F36" s="493" t="n"/>
      <c r="G36" s="493" t="n"/>
      <c r="H36" s="493" t="n"/>
      <c r="I36" s="493" t="n"/>
      <c r="J36" s="493" t="n"/>
      <c r="K36" s="493" t="n"/>
      <c r="L36" s="493" t="n"/>
      <c r="M36" s="493" t="n"/>
      <c r="N36" s="493" t="n"/>
      <c r="O36" s="493" t="n"/>
      <c r="P36" s="493" t="n"/>
      <c r="Q36" s="493" t="n"/>
      <c r="R36" s="493" t="n"/>
      <c r="S36" s="493" t="n"/>
      <c r="T36" s="493" t="n"/>
      <c r="U36" s="493" t="n"/>
      <c r="V36" s="493" t="n"/>
      <c r="W36" s="493" t="n"/>
      <c r="X36" s="493" t="n"/>
      <c r="Y36" s="493" t="n"/>
      <c r="Z36" s="493" t="n"/>
      <c r="AA36" s="493" t="n"/>
    </row>
    <row r="37" ht="15.75" customHeight="1" s="408">
      <c r="A37" s="493" t="n"/>
      <c r="B37" s="493" t="n"/>
      <c r="C37" s="493" t="n"/>
      <c r="D37" s="493" t="n"/>
      <c r="E37" s="493" t="n"/>
      <c r="F37" s="493" t="n"/>
      <c r="G37" s="493" t="n"/>
      <c r="H37" s="493" t="n"/>
      <c r="I37" s="493" t="n"/>
      <c r="J37" s="493" t="n"/>
      <c r="K37" s="493" t="n"/>
      <c r="L37" s="493" t="n"/>
      <c r="M37" s="493" t="n"/>
      <c r="N37" s="493" t="n"/>
      <c r="O37" s="493" t="n"/>
      <c r="P37" s="493" t="n"/>
      <c r="Q37" s="493" t="n"/>
      <c r="R37" s="493" t="n"/>
      <c r="S37" s="493" t="n"/>
      <c r="T37" s="493" t="n"/>
      <c r="U37" s="493" t="n"/>
      <c r="V37" s="493" t="n"/>
      <c r="W37" s="493" t="n"/>
      <c r="X37" s="493" t="n"/>
      <c r="Y37" s="493" t="n"/>
      <c r="Z37" s="493" t="n"/>
      <c r="AA37" s="493" t="n"/>
    </row>
    <row r="38" ht="15.75" customHeight="1" s="408">
      <c r="A38" s="493" t="n"/>
      <c r="B38" s="493" t="n"/>
      <c r="C38" s="493" t="n"/>
      <c r="D38" s="493" t="n"/>
      <c r="E38" s="493" t="n"/>
      <c r="F38" s="493" t="n"/>
      <c r="G38" s="493" t="n"/>
      <c r="H38" s="493" t="n"/>
      <c r="I38" s="493" t="n"/>
      <c r="J38" s="493" t="n"/>
      <c r="K38" s="493" t="n"/>
      <c r="L38" s="493" t="n"/>
      <c r="M38" s="493" t="n"/>
      <c r="N38" s="493" t="n"/>
      <c r="O38" s="493" t="n"/>
      <c r="P38" s="493" t="n"/>
      <c r="Q38" s="493" t="n"/>
      <c r="R38" s="493" t="n"/>
      <c r="S38" s="493" t="n"/>
      <c r="T38" s="493" t="n"/>
      <c r="U38" s="493" t="n"/>
      <c r="V38" s="493" t="n"/>
      <c r="W38" s="493" t="n"/>
      <c r="X38" s="493" t="n"/>
      <c r="Y38" s="493" t="n"/>
      <c r="Z38" s="493" t="n"/>
      <c r="AA38" s="493" t="n"/>
    </row>
    <row r="39" ht="15.75" customHeight="1" s="408">
      <c r="A39" s="493" t="n"/>
      <c r="B39" s="493" t="n"/>
      <c r="C39" s="493" t="n"/>
      <c r="D39" s="493" t="n"/>
      <c r="E39" s="493" t="n"/>
      <c r="F39" s="493" t="n"/>
      <c r="G39" s="493" t="n"/>
      <c r="H39" s="493" t="n"/>
      <c r="I39" s="493" t="n"/>
      <c r="J39" s="493" t="n"/>
      <c r="K39" s="493" t="n"/>
      <c r="L39" s="493" t="n"/>
      <c r="M39" s="493" t="n"/>
      <c r="N39" s="493" t="n"/>
      <c r="O39" s="493" t="n"/>
      <c r="P39" s="493" t="n"/>
      <c r="Q39" s="493" t="n"/>
      <c r="R39" s="493" t="n"/>
      <c r="S39" s="493" t="n"/>
      <c r="T39" s="493" t="n"/>
      <c r="U39" s="493" t="n"/>
      <c r="V39" s="493" t="n"/>
      <c r="W39" s="493" t="n"/>
      <c r="X39" s="493" t="n"/>
      <c r="Y39" s="493" t="n"/>
      <c r="Z39" s="493" t="n"/>
      <c r="AA39" s="493" t="n"/>
    </row>
    <row r="40" ht="15.75" customHeight="1" s="408">
      <c r="A40" s="493" t="n"/>
      <c r="B40" s="493" t="n"/>
      <c r="C40" s="493" t="n"/>
      <c r="D40" s="493" t="n"/>
      <c r="E40" s="493" t="n"/>
      <c r="F40" s="493" t="n"/>
      <c r="G40" s="493" t="n"/>
      <c r="H40" s="493" t="n"/>
      <c r="I40" s="493" t="n"/>
      <c r="J40" s="493" t="n"/>
      <c r="K40" s="493" t="n"/>
      <c r="L40" s="493" t="n"/>
      <c r="M40" s="493" t="n"/>
      <c r="N40" s="493" t="n"/>
      <c r="O40" s="493" t="n"/>
      <c r="P40" s="493" t="n"/>
      <c r="Q40" s="493" t="n"/>
      <c r="R40" s="493" t="n"/>
      <c r="S40" s="493" t="n"/>
      <c r="T40" s="493" t="n"/>
      <c r="U40" s="493" t="n"/>
      <c r="V40" s="493" t="n"/>
      <c r="W40" s="493" t="n"/>
      <c r="X40" s="493" t="n"/>
      <c r="Y40" s="493" t="n"/>
      <c r="Z40" s="493" t="n"/>
      <c r="AA40" s="493" t="n"/>
    </row>
    <row r="41" ht="15.75" customHeight="1" s="408">
      <c r="A41" s="493" t="n"/>
      <c r="B41" s="493" t="n"/>
      <c r="C41" s="493" t="n"/>
      <c r="D41" s="493" t="n"/>
      <c r="E41" s="493" t="n"/>
      <c r="F41" s="493" t="n"/>
      <c r="G41" s="493" t="n"/>
      <c r="H41" s="493" t="n"/>
      <c r="I41" s="493" t="n"/>
      <c r="J41" s="493" t="n"/>
      <c r="K41" s="493" t="n"/>
      <c r="L41" s="493" t="n"/>
      <c r="M41" s="493" t="n"/>
      <c r="N41" s="493" t="n"/>
      <c r="O41" s="493" t="n"/>
      <c r="P41" s="493" t="n"/>
      <c r="Q41" s="493" t="n"/>
      <c r="R41" s="493" t="n"/>
      <c r="S41" s="493" t="n"/>
      <c r="T41" s="493" t="n"/>
      <c r="U41" s="493" t="n"/>
      <c r="V41" s="493" t="n"/>
      <c r="W41" s="493" t="n"/>
      <c r="X41" s="493" t="n"/>
      <c r="Y41" s="493" t="n"/>
      <c r="Z41" s="493" t="n"/>
      <c r="AA41" s="493" t="n"/>
    </row>
    <row r="42" ht="15.75" customHeight="1" s="408">
      <c r="A42" s="493" t="n"/>
      <c r="B42" s="493" t="n"/>
      <c r="C42" s="493" t="n"/>
      <c r="D42" s="493" t="n"/>
      <c r="E42" s="493" t="n"/>
      <c r="F42" s="493" t="n"/>
      <c r="G42" s="493" t="n"/>
      <c r="H42" s="493" t="n"/>
      <c r="I42" s="493" t="n"/>
      <c r="J42" s="493" t="n"/>
      <c r="K42" s="493" t="n"/>
      <c r="L42" s="493" t="n"/>
      <c r="M42" s="493" t="n"/>
      <c r="N42" s="493" t="n"/>
      <c r="O42" s="493" t="n"/>
      <c r="P42" s="493" t="n"/>
      <c r="Q42" s="493" t="n"/>
      <c r="R42" s="493" t="n"/>
      <c r="S42" s="493" t="n"/>
      <c r="T42" s="493" t="n"/>
      <c r="U42" s="493" t="n"/>
      <c r="V42" s="493" t="n"/>
      <c r="W42" s="493" t="n"/>
      <c r="X42" s="493" t="n"/>
      <c r="Y42" s="493" t="n"/>
      <c r="Z42" s="493" t="n"/>
      <c r="AA42" s="493" t="n"/>
    </row>
    <row r="43" ht="15.75" customHeight="1" s="408">
      <c r="A43" s="493" t="n"/>
      <c r="B43" s="493" t="n"/>
      <c r="C43" s="493" t="n"/>
      <c r="D43" s="493" t="n"/>
      <c r="E43" s="493" t="n"/>
      <c r="F43" s="493" t="n"/>
      <c r="G43" s="493" t="n"/>
      <c r="H43" s="493" t="n"/>
      <c r="I43" s="493" t="n"/>
      <c r="J43" s="493" t="n"/>
      <c r="K43" s="493" t="n"/>
      <c r="L43" s="493" t="n"/>
      <c r="M43" s="493" t="n"/>
      <c r="N43" s="493" t="n"/>
      <c r="O43" s="493" t="n"/>
      <c r="P43" s="493" t="n"/>
      <c r="Q43" s="493" t="n"/>
      <c r="R43" s="493" t="n"/>
      <c r="S43" s="493" t="n"/>
      <c r="T43" s="493" t="n"/>
      <c r="U43" s="493" t="n"/>
      <c r="V43" s="493" t="n"/>
      <c r="W43" s="493" t="n"/>
      <c r="X43" s="493" t="n"/>
      <c r="Y43" s="493" t="n"/>
      <c r="Z43" s="493" t="n"/>
      <c r="AA43" s="493" t="n"/>
    </row>
    <row r="44" ht="15.75" customHeight="1" s="408">
      <c r="A44" s="493" t="n"/>
      <c r="B44" s="493" t="n"/>
      <c r="C44" s="493" t="n"/>
      <c r="D44" s="493" t="n"/>
      <c r="E44" s="493" t="n"/>
      <c r="F44" s="493" t="n"/>
      <c r="G44" s="493" t="n"/>
      <c r="H44" s="493" t="n"/>
      <c r="I44" s="493" t="n"/>
      <c r="J44" s="493" t="n"/>
      <c r="K44" s="493" t="n"/>
      <c r="L44" s="493" t="n"/>
      <c r="M44" s="493" t="n"/>
      <c r="N44" s="493" t="n"/>
      <c r="O44" s="493" t="n"/>
      <c r="P44" s="493" t="n"/>
      <c r="Q44" s="493" t="n"/>
      <c r="R44" s="493" t="n"/>
      <c r="S44" s="493" t="n"/>
      <c r="T44" s="493" t="n"/>
      <c r="U44" s="493" t="n"/>
      <c r="V44" s="493" t="n"/>
      <c r="W44" s="493" t="n"/>
      <c r="X44" s="493" t="n"/>
      <c r="Y44" s="493" t="n"/>
      <c r="Z44" s="493" t="n"/>
      <c r="AA44" s="493" t="n"/>
    </row>
    <row r="45" ht="15.75" customHeight="1" s="408">
      <c r="A45" s="493" t="n"/>
      <c r="B45" s="493" t="n"/>
      <c r="C45" s="493" t="n"/>
      <c r="D45" s="493" t="n"/>
      <c r="E45" s="493" t="n"/>
      <c r="F45" s="493" t="n"/>
      <c r="G45" s="493" t="n"/>
      <c r="H45" s="493" t="n"/>
      <c r="I45" s="493" t="n"/>
      <c r="J45" s="493" t="n"/>
      <c r="K45" s="493" t="n"/>
      <c r="L45" s="493" t="n"/>
      <c r="M45" s="493" t="n"/>
      <c r="N45" s="493" t="n"/>
      <c r="O45" s="493" t="n"/>
      <c r="P45" s="493" t="n"/>
      <c r="Q45" s="493" t="n"/>
      <c r="R45" s="493" t="n"/>
      <c r="S45" s="493" t="n"/>
      <c r="T45" s="493" t="n"/>
      <c r="U45" s="493" t="n"/>
      <c r="V45" s="493" t="n"/>
      <c r="W45" s="493" t="n"/>
      <c r="X45" s="493" t="n"/>
      <c r="Y45" s="493" t="n"/>
      <c r="Z45" s="493" t="n"/>
      <c r="AA45" s="493" t="n"/>
    </row>
    <row r="46" ht="15.75" customHeight="1" s="408">
      <c r="A46" s="493" t="n"/>
      <c r="B46" s="493" t="n"/>
      <c r="C46" s="493" t="n"/>
      <c r="D46" s="493" t="n"/>
      <c r="E46" s="493" t="n"/>
      <c r="F46" s="493" t="n"/>
      <c r="G46" s="493" t="n"/>
      <c r="H46" s="493" t="n"/>
      <c r="I46" s="493" t="n"/>
      <c r="J46" s="493" t="n"/>
      <c r="K46" s="493" t="n"/>
      <c r="L46" s="493" t="n"/>
      <c r="M46" s="493" t="n"/>
      <c r="N46" s="493" t="n"/>
      <c r="O46" s="493" t="n"/>
      <c r="P46" s="493" t="n"/>
      <c r="Q46" s="493" t="n"/>
      <c r="R46" s="493" t="n"/>
      <c r="S46" s="493" t="n"/>
      <c r="T46" s="493" t="n"/>
      <c r="U46" s="493" t="n"/>
      <c r="V46" s="493" t="n"/>
      <c r="W46" s="493" t="n"/>
      <c r="X46" s="493" t="n"/>
      <c r="Y46" s="493" t="n"/>
      <c r="Z46" s="493" t="n"/>
      <c r="AA46" s="493" t="n"/>
    </row>
    <row r="47" ht="15.75" customHeight="1" s="408">
      <c r="A47" s="493" t="n"/>
      <c r="B47" s="493" t="n"/>
      <c r="C47" s="493" t="n"/>
      <c r="D47" s="493" t="n"/>
      <c r="E47" s="493" t="n"/>
      <c r="F47" s="493" t="n"/>
      <c r="G47" s="493" t="n"/>
      <c r="H47" s="493" t="n"/>
      <c r="I47" s="493" t="n"/>
      <c r="J47" s="493" t="n"/>
      <c r="K47" s="493" t="n"/>
      <c r="L47" s="493" t="n"/>
      <c r="M47" s="493" t="n"/>
      <c r="N47" s="493" t="n"/>
      <c r="O47" s="493" t="n"/>
      <c r="P47" s="493" t="n"/>
      <c r="Q47" s="493" t="n"/>
      <c r="R47" s="493" t="n"/>
      <c r="S47" s="493" t="n"/>
      <c r="T47" s="493" t="n"/>
      <c r="U47" s="493" t="n"/>
      <c r="V47" s="493" t="n"/>
      <c r="W47" s="493" t="n"/>
      <c r="X47" s="493" t="n"/>
      <c r="Y47" s="493" t="n"/>
      <c r="Z47" s="493" t="n"/>
      <c r="AA47" s="493" t="n"/>
    </row>
    <row r="48" ht="15.75" customHeight="1" s="408">
      <c r="A48" s="493" t="n"/>
      <c r="B48" s="493" t="n"/>
      <c r="C48" s="493" t="n"/>
      <c r="D48" s="493" t="n"/>
      <c r="E48" s="493" t="n"/>
      <c r="F48" s="493" t="n"/>
      <c r="G48" s="493" t="n"/>
      <c r="H48" s="493" t="n"/>
      <c r="I48" s="493" t="n"/>
      <c r="J48" s="493" t="n"/>
      <c r="K48" s="493" t="n"/>
      <c r="L48" s="493" t="n"/>
      <c r="M48" s="493" t="n"/>
      <c r="N48" s="493" t="n"/>
      <c r="O48" s="493" t="n"/>
      <c r="P48" s="493" t="n"/>
      <c r="Q48" s="493" t="n"/>
      <c r="R48" s="493" t="n"/>
      <c r="S48" s="493" t="n"/>
      <c r="T48" s="493" t="n"/>
      <c r="U48" s="493" t="n"/>
      <c r="V48" s="493" t="n"/>
      <c r="W48" s="493" t="n"/>
      <c r="X48" s="493" t="n"/>
      <c r="Y48" s="493" t="n"/>
      <c r="Z48" s="493" t="n"/>
      <c r="AA48" s="493" t="n"/>
    </row>
    <row r="49" ht="15.75" customHeight="1" s="408">
      <c r="A49" s="493" t="n"/>
      <c r="B49" s="493" t="n"/>
      <c r="C49" s="493" t="n"/>
      <c r="D49" s="493" t="n"/>
      <c r="E49" s="493" t="n"/>
      <c r="F49" s="493" t="n"/>
      <c r="G49" s="493" t="n"/>
      <c r="H49" s="493" t="n"/>
      <c r="I49" s="493" t="n"/>
      <c r="J49" s="493" t="n"/>
      <c r="K49" s="493" t="n"/>
      <c r="L49" s="493" t="n"/>
      <c r="M49" s="493" t="n"/>
      <c r="N49" s="493" t="n"/>
      <c r="O49" s="493" t="n"/>
      <c r="P49" s="493" t="n"/>
      <c r="Q49" s="493" t="n"/>
      <c r="R49" s="493" t="n"/>
      <c r="S49" s="493" t="n"/>
      <c r="T49" s="493" t="n"/>
      <c r="U49" s="493" t="n"/>
      <c r="V49" s="493" t="n"/>
      <c r="W49" s="493" t="n"/>
      <c r="X49" s="493" t="n"/>
      <c r="Y49" s="493" t="n"/>
      <c r="Z49" s="493" t="n"/>
      <c r="AA49" s="493" t="n"/>
    </row>
    <row r="50" ht="15.75" customHeight="1" s="408">
      <c r="A50" s="493" t="n"/>
      <c r="B50" s="493" t="n"/>
      <c r="C50" s="493" t="n"/>
      <c r="D50" s="493" t="n"/>
      <c r="E50" s="493" t="n"/>
      <c r="F50" s="493" t="n"/>
      <c r="G50" s="493" t="n"/>
      <c r="H50" s="493" t="n"/>
      <c r="I50" s="493" t="n"/>
      <c r="J50" s="493" t="n"/>
      <c r="K50" s="493" t="n"/>
      <c r="L50" s="493" t="n"/>
      <c r="M50" s="493" t="n"/>
      <c r="N50" s="493" t="n"/>
      <c r="O50" s="493" t="n"/>
      <c r="P50" s="493" t="n"/>
      <c r="Q50" s="493" t="n"/>
      <c r="R50" s="493" t="n"/>
      <c r="S50" s="493" t="n"/>
      <c r="T50" s="493" t="n"/>
      <c r="U50" s="493" t="n"/>
      <c r="V50" s="493" t="n"/>
      <c r="W50" s="493" t="n"/>
      <c r="X50" s="493" t="n"/>
      <c r="Y50" s="493" t="n"/>
      <c r="Z50" s="493" t="n"/>
      <c r="AA50" s="493" t="n"/>
    </row>
    <row r="51" ht="15.75" customHeight="1" s="408">
      <c r="A51" s="493" t="n"/>
      <c r="B51" s="493" t="n"/>
      <c r="C51" s="493" t="n"/>
      <c r="D51" s="493" t="n"/>
      <c r="E51" s="493" t="n"/>
      <c r="F51" s="493" t="n"/>
      <c r="G51" s="493" t="n"/>
      <c r="H51" s="493" t="n"/>
      <c r="I51" s="493" t="n"/>
      <c r="J51" s="493" t="n"/>
      <c r="K51" s="493" t="n"/>
      <c r="L51" s="493" t="n"/>
      <c r="M51" s="493" t="n"/>
      <c r="N51" s="493" t="n"/>
      <c r="O51" s="493" t="n"/>
      <c r="P51" s="493" t="n"/>
      <c r="Q51" s="493" t="n"/>
      <c r="R51" s="493" t="n"/>
      <c r="S51" s="493" t="n"/>
      <c r="T51" s="493" t="n"/>
      <c r="U51" s="493" t="n"/>
      <c r="V51" s="493" t="n"/>
      <c r="W51" s="493" t="n"/>
      <c r="X51" s="493" t="n"/>
      <c r="Y51" s="493" t="n"/>
      <c r="Z51" s="493" t="n"/>
      <c r="AA51" s="493" t="n"/>
    </row>
    <row r="52" ht="15.75" customHeight="1" s="408">
      <c r="A52" s="493" t="n"/>
      <c r="B52" s="493" t="n"/>
      <c r="C52" s="493" t="n"/>
      <c r="D52" s="493" t="n"/>
      <c r="E52" s="493" t="n"/>
      <c r="F52" s="493" t="n"/>
      <c r="G52" s="493" t="n"/>
      <c r="H52" s="493" t="n"/>
      <c r="I52" s="493" t="n"/>
      <c r="J52" s="493" t="n"/>
      <c r="K52" s="493" t="n"/>
      <c r="L52" s="493" t="n"/>
      <c r="M52" s="493" t="n"/>
      <c r="N52" s="493" t="n"/>
      <c r="O52" s="493" t="n"/>
      <c r="P52" s="493" t="n"/>
      <c r="Q52" s="493" t="n"/>
      <c r="R52" s="493" t="n"/>
      <c r="S52" s="493" t="n"/>
      <c r="T52" s="493" t="n"/>
      <c r="U52" s="493" t="n"/>
      <c r="V52" s="493" t="n"/>
      <c r="W52" s="493" t="n"/>
      <c r="X52" s="493" t="n"/>
      <c r="Y52" s="493" t="n"/>
      <c r="Z52" s="493" t="n"/>
      <c r="AA52" s="493" t="n"/>
    </row>
    <row r="53" ht="15.75" customHeight="1" s="408">
      <c r="A53" s="493" t="n"/>
      <c r="B53" s="493" t="n"/>
      <c r="C53" s="493" t="n"/>
      <c r="D53" s="493" t="n"/>
      <c r="E53" s="493" t="n"/>
      <c r="F53" s="493" t="n"/>
      <c r="G53" s="493" t="n"/>
      <c r="H53" s="493" t="n"/>
      <c r="I53" s="493" t="n"/>
      <c r="J53" s="493" t="n"/>
      <c r="K53" s="493" t="n"/>
      <c r="L53" s="493" t="n"/>
      <c r="M53" s="493" t="n"/>
      <c r="N53" s="493" t="n"/>
      <c r="O53" s="493" t="n"/>
      <c r="P53" s="493" t="n"/>
      <c r="Q53" s="493" t="n"/>
      <c r="R53" s="493" t="n"/>
      <c r="S53" s="493" t="n"/>
      <c r="T53" s="493" t="n"/>
      <c r="U53" s="493" t="n"/>
      <c r="V53" s="493" t="n"/>
      <c r="W53" s="493" t="n"/>
      <c r="X53" s="493" t="n"/>
      <c r="Y53" s="493" t="n"/>
      <c r="Z53" s="493" t="n"/>
      <c r="AA53" s="493" t="n"/>
    </row>
    <row r="54" ht="15.75" customHeight="1" s="408">
      <c r="A54" s="493" t="n"/>
      <c r="B54" s="493" t="n"/>
      <c r="C54" s="493" t="n"/>
      <c r="D54" s="493" t="n"/>
      <c r="E54" s="493" t="n"/>
      <c r="F54" s="493" t="n"/>
      <c r="G54" s="493" t="n"/>
      <c r="H54" s="493" t="n"/>
      <c r="I54" s="493" t="n"/>
      <c r="J54" s="493" t="n"/>
      <c r="K54" s="493" t="n"/>
      <c r="L54" s="493" t="n"/>
      <c r="M54" s="493" t="n"/>
      <c r="N54" s="493" t="n"/>
      <c r="O54" s="493" t="n"/>
      <c r="P54" s="493" t="n"/>
      <c r="Q54" s="493" t="n"/>
      <c r="R54" s="493" t="n"/>
      <c r="S54" s="493" t="n"/>
      <c r="T54" s="493" t="n"/>
      <c r="U54" s="493" t="n"/>
      <c r="V54" s="493" t="n"/>
      <c r="W54" s="493" t="n"/>
      <c r="X54" s="493" t="n"/>
      <c r="Y54" s="493" t="n"/>
      <c r="Z54" s="493" t="n"/>
      <c r="AA54" s="493" t="n"/>
    </row>
    <row r="55" ht="15.75" customHeight="1" s="408">
      <c r="A55" s="493" t="n"/>
      <c r="B55" s="493" t="n"/>
      <c r="C55" s="493" t="n"/>
      <c r="D55" s="493" t="n"/>
      <c r="E55" s="493" t="n"/>
      <c r="F55" s="493" t="n"/>
      <c r="G55" s="493" t="n"/>
      <c r="H55" s="493" t="n"/>
      <c r="I55" s="493" t="n"/>
      <c r="J55" s="493" t="n"/>
      <c r="K55" s="493" t="n"/>
      <c r="L55" s="493" t="n"/>
      <c r="M55" s="493" t="n"/>
      <c r="N55" s="493" t="n"/>
      <c r="O55" s="493" t="n"/>
      <c r="P55" s="493" t="n"/>
      <c r="Q55" s="493" t="n"/>
      <c r="R55" s="493" t="n"/>
      <c r="S55" s="493" t="n"/>
      <c r="T55" s="493" t="n"/>
      <c r="U55" s="493" t="n"/>
      <c r="V55" s="493" t="n"/>
      <c r="W55" s="493" t="n"/>
      <c r="X55" s="493" t="n"/>
      <c r="Y55" s="493" t="n"/>
      <c r="Z55" s="493" t="n"/>
      <c r="AA55" s="493" t="n"/>
    </row>
    <row r="56" ht="15.75" customHeight="1" s="408">
      <c r="A56" s="493" t="n"/>
      <c r="B56" s="493" t="n"/>
      <c r="C56" s="493" t="n"/>
      <c r="D56" s="493" t="n"/>
      <c r="E56" s="493" t="n"/>
      <c r="F56" s="493" t="n"/>
      <c r="G56" s="493" t="n"/>
      <c r="H56" s="493" t="n"/>
      <c r="I56" s="493" t="n"/>
      <c r="J56" s="493" t="n"/>
      <c r="K56" s="493" t="n"/>
      <c r="L56" s="493" t="n"/>
      <c r="M56" s="493" t="n"/>
      <c r="N56" s="493" t="n"/>
      <c r="O56" s="493" t="n"/>
      <c r="P56" s="493" t="n"/>
      <c r="Q56" s="493" t="n"/>
      <c r="R56" s="493" t="n"/>
      <c r="S56" s="493" t="n"/>
      <c r="T56" s="493" t="n"/>
      <c r="U56" s="493" t="n"/>
      <c r="V56" s="493" t="n"/>
      <c r="W56" s="493" t="n"/>
      <c r="X56" s="493" t="n"/>
      <c r="Y56" s="493" t="n"/>
      <c r="Z56" s="493" t="n"/>
      <c r="AA56" s="493" t="n"/>
    </row>
    <row r="57" ht="15.75" customHeight="1" s="408">
      <c r="A57" s="493" t="n"/>
      <c r="B57" s="493" t="n"/>
      <c r="C57" s="493" t="n"/>
      <c r="D57" s="493" t="n"/>
      <c r="E57" s="493" t="n"/>
      <c r="F57" s="493" t="n"/>
      <c r="G57" s="493" t="n"/>
      <c r="H57" s="493" t="n"/>
      <c r="I57" s="493" t="n"/>
      <c r="J57" s="493" t="n"/>
      <c r="K57" s="493" t="n"/>
      <c r="L57" s="493" t="n"/>
      <c r="M57" s="493" t="n"/>
      <c r="N57" s="493" t="n"/>
      <c r="O57" s="493" t="n"/>
      <c r="P57" s="493" t="n"/>
      <c r="Q57" s="493" t="n"/>
      <c r="R57" s="493" t="n"/>
      <c r="S57" s="493" t="n"/>
      <c r="T57" s="493" t="n"/>
      <c r="U57" s="493" t="n"/>
      <c r="V57" s="493" t="n"/>
      <c r="W57" s="493" t="n"/>
      <c r="X57" s="493" t="n"/>
      <c r="Y57" s="493" t="n"/>
      <c r="Z57" s="493" t="n"/>
      <c r="AA57" s="493" t="n"/>
    </row>
    <row r="58" ht="15.75" customHeight="1" s="408">
      <c r="A58" s="493" t="n"/>
      <c r="B58" s="493" t="n"/>
      <c r="C58" s="493" t="n"/>
      <c r="D58" s="493" t="n"/>
      <c r="E58" s="493" t="n"/>
      <c r="F58" s="493" t="n"/>
      <c r="G58" s="493" t="n"/>
      <c r="H58" s="493" t="n"/>
      <c r="I58" s="493" t="n"/>
      <c r="J58" s="493" t="n"/>
      <c r="K58" s="493" t="n"/>
      <c r="L58" s="493" t="n"/>
      <c r="M58" s="493" t="n"/>
      <c r="N58" s="493" t="n"/>
      <c r="O58" s="493" t="n"/>
      <c r="P58" s="493" t="n"/>
      <c r="Q58" s="493" t="n"/>
      <c r="R58" s="493" t="n"/>
      <c r="S58" s="493" t="n"/>
      <c r="T58" s="493" t="n"/>
      <c r="U58" s="493" t="n"/>
      <c r="V58" s="493" t="n"/>
      <c r="W58" s="493" t="n"/>
      <c r="X58" s="493" t="n"/>
      <c r="Y58" s="493" t="n"/>
      <c r="Z58" s="493" t="n"/>
      <c r="AA58" s="493" t="n"/>
    </row>
    <row r="59" ht="15.75" customHeight="1" s="408">
      <c r="A59" s="493" t="n"/>
      <c r="B59" s="493" t="n"/>
      <c r="C59" s="493" t="n"/>
      <c r="D59" s="493" t="n"/>
      <c r="E59" s="493" t="n"/>
      <c r="F59" s="493" t="n"/>
      <c r="G59" s="493" t="n"/>
      <c r="H59" s="493" t="n"/>
      <c r="I59" s="493" t="n"/>
      <c r="J59" s="493" t="n"/>
      <c r="K59" s="493" t="n"/>
      <c r="L59" s="493" t="n"/>
      <c r="M59" s="493" t="n"/>
      <c r="N59" s="493" t="n"/>
      <c r="O59" s="493" t="n"/>
      <c r="P59" s="493" t="n"/>
      <c r="Q59" s="493" t="n"/>
      <c r="R59" s="493" t="n"/>
      <c r="S59" s="493" t="n"/>
      <c r="T59" s="493" t="n"/>
      <c r="U59" s="493" t="n"/>
      <c r="V59" s="493" t="n"/>
      <c r="W59" s="493" t="n"/>
      <c r="X59" s="493" t="n"/>
      <c r="Y59" s="493" t="n"/>
      <c r="Z59" s="493" t="n"/>
      <c r="AA59" s="493" t="n"/>
    </row>
    <row r="60" ht="15.75" customHeight="1" s="408">
      <c r="A60" s="493" t="n"/>
      <c r="B60" s="493" t="n"/>
      <c r="C60" s="493" t="n"/>
      <c r="D60" s="493" t="n"/>
      <c r="E60" s="493" t="n"/>
      <c r="F60" s="493" t="n"/>
      <c r="G60" s="493" t="n"/>
      <c r="H60" s="493" t="n"/>
      <c r="I60" s="493" t="n"/>
      <c r="J60" s="493" t="n"/>
      <c r="K60" s="493" t="n"/>
      <c r="L60" s="493" t="n"/>
      <c r="M60" s="493" t="n"/>
      <c r="N60" s="493" t="n"/>
      <c r="O60" s="493" t="n"/>
      <c r="P60" s="493" t="n"/>
      <c r="Q60" s="493" t="n"/>
      <c r="R60" s="493" t="n"/>
      <c r="S60" s="493" t="n"/>
      <c r="T60" s="493" t="n"/>
      <c r="U60" s="493" t="n"/>
      <c r="V60" s="493" t="n"/>
      <c r="W60" s="493" t="n"/>
      <c r="X60" s="493" t="n"/>
      <c r="Y60" s="493" t="n"/>
      <c r="Z60" s="493" t="n"/>
      <c r="AA60" s="493" t="n"/>
    </row>
    <row r="61" ht="15.75" customHeight="1" s="408">
      <c r="A61" s="493" t="n"/>
      <c r="B61" s="493" t="n"/>
      <c r="C61" s="493" t="n"/>
      <c r="D61" s="493" t="n"/>
      <c r="E61" s="493" t="n"/>
      <c r="F61" s="493" t="n"/>
      <c r="G61" s="493" t="n"/>
      <c r="H61" s="493" t="n"/>
      <c r="I61" s="493" t="n"/>
      <c r="J61" s="493" t="n"/>
      <c r="K61" s="493" t="n"/>
      <c r="L61" s="493" t="n"/>
      <c r="M61" s="493" t="n"/>
      <c r="N61" s="493" t="n"/>
      <c r="O61" s="493" t="n"/>
      <c r="P61" s="493" t="n"/>
      <c r="Q61" s="493" t="n"/>
      <c r="R61" s="493" t="n"/>
      <c r="S61" s="493" t="n"/>
      <c r="T61" s="493" t="n"/>
      <c r="U61" s="493" t="n"/>
      <c r="V61" s="493" t="n"/>
      <c r="W61" s="493" t="n"/>
      <c r="X61" s="493" t="n"/>
      <c r="Y61" s="493" t="n"/>
      <c r="Z61" s="493" t="n"/>
      <c r="AA61" s="493" t="n"/>
    </row>
    <row r="62" ht="15.75" customHeight="1" s="408">
      <c r="A62" s="493" t="n"/>
      <c r="B62" s="493" t="n"/>
      <c r="C62" s="493" t="n"/>
      <c r="D62" s="493" t="n"/>
      <c r="E62" s="493" t="n"/>
      <c r="F62" s="493" t="n"/>
      <c r="G62" s="493" t="n"/>
      <c r="H62" s="493" t="n"/>
      <c r="I62" s="493" t="n"/>
      <c r="J62" s="493" t="n"/>
      <c r="K62" s="493" t="n"/>
      <c r="L62" s="493" t="n"/>
      <c r="M62" s="493" t="n"/>
      <c r="N62" s="493" t="n"/>
      <c r="O62" s="493" t="n"/>
      <c r="P62" s="493" t="n"/>
      <c r="Q62" s="493" t="n"/>
      <c r="R62" s="493" t="n"/>
      <c r="S62" s="493" t="n"/>
      <c r="T62" s="493" t="n"/>
      <c r="U62" s="493" t="n"/>
      <c r="V62" s="493" t="n"/>
      <c r="W62" s="493" t="n"/>
      <c r="X62" s="493" t="n"/>
      <c r="Y62" s="493" t="n"/>
      <c r="Z62" s="493" t="n"/>
      <c r="AA62" s="493" t="n"/>
    </row>
    <row r="63" ht="15.75" customHeight="1" s="408">
      <c r="A63" s="493" t="n"/>
      <c r="B63" s="493" t="n"/>
      <c r="C63" s="493" t="n"/>
      <c r="D63" s="493" t="n"/>
      <c r="E63" s="493" t="n"/>
      <c r="F63" s="493" t="n"/>
      <c r="G63" s="493" t="n"/>
      <c r="H63" s="493" t="n"/>
      <c r="I63" s="493" t="n"/>
      <c r="J63" s="493" t="n"/>
      <c r="K63" s="493" t="n"/>
      <c r="L63" s="493" t="n"/>
      <c r="M63" s="493" t="n"/>
      <c r="N63" s="493" t="n"/>
      <c r="O63" s="493" t="n"/>
      <c r="P63" s="493" t="n"/>
      <c r="Q63" s="493" t="n"/>
      <c r="R63" s="493" t="n"/>
      <c r="S63" s="493" t="n"/>
      <c r="T63" s="493" t="n"/>
      <c r="U63" s="493" t="n"/>
      <c r="V63" s="493" t="n"/>
      <c r="W63" s="493" t="n"/>
      <c r="X63" s="493" t="n"/>
      <c r="Y63" s="493" t="n"/>
      <c r="Z63" s="493" t="n"/>
      <c r="AA63" s="493" t="n"/>
    </row>
    <row r="64" ht="15.75" customHeight="1" s="408">
      <c r="A64" s="493" t="n"/>
      <c r="B64" s="493" t="n"/>
      <c r="C64" s="493" t="n"/>
      <c r="D64" s="493" t="n"/>
      <c r="E64" s="493" t="n"/>
      <c r="F64" s="493" t="n"/>
      <c r="G64" s="493" t="n"/>
      <c r="H64" s="493" t="n"/>
      <c r="I64" s="493" t="n"/>
      <c r="J64" s="493" t="n"/>
      <c r="K64" s="493" t="n"/>
      <c r="L64" s="493" t="n"/>
      <c r="M64" s="493" t="n"/>
      <c r="N64" s="493" t="n"/>
      <c r="O64" s="493" t="n"/>
      <c r="P64" s="493" t="n"/>
      <c r="Q64" s="493" t="n"/>
      <c r="R64" s="493" t="n"/>
      <c r="S64" s="493" t="n"/>
      <c r="T64" s="493" t="n"/>
      <c r="U64" s="493" t="n"/>
      <c r="V64" s="493" t="n"/>
      <c r="W64" s="493" t="n"/>
      <c r="X64" s="493" t="n"/>
      <c r="Y64" s="493" t="n"/>
      <c r="Z64" s="493" t="n"/>
      <c r="AA64" s="493" t="n"/>
    </row>
    <row r="65" ht="15.75" customHeight="1" s="408">
      <c r="A65" s="493" t="n"/>
      <c r="B65" s="493" t="n"/>
      <c r="C65" s="493" t="n"/>
      <c r="D65" s="493" t="n"/>
      <c r="E65" s="493" t="n"/>
      <c r="F65" s="493" t="n"/>
      <c r="G65" s="493" t="n"/>
      <c r="H65" s="493" t="n"/>
      <c r="I65" s="493" t="n"/>
      <c r="J65" s="493" t="n"/>
      <c r="K65" s="493" t="n"/>
      <c r="L65" s="493" t="n"/>
      <c r="M65" s="493" t="n"/>
      <c r="N65" s="493" t="n"/>
      <c r="O65" s="493" t="n"/>
      <c r="P65" s="493" t="n"/>
      <c r="Q65" s="493" t="n"/>
      <c r="R65" s="493" t="n"/>
      <c r="S65" s="493" t="n"/>
      <c r="T65" s="493" t="n"/>
      <c r="U65" s="493" t="n"/>
      <c r="V65" s="493" t="n"/>
      <c r="W65" s="493" t="n"/>
      <c r="X65" s="493" t="n"/>
      <c r="Y65" s="493" t="n"/>
      <c r="Z65" s="493" t="n"/>
      <c r="AA65" s="493" t="n"/>
    </row>
    <row r="66" ht="15.75" customHeight="1" s="408">
      <c r="A66" s="493" t="n"/>
      <c r="B66" s="493" t="n"/>
      <c r="C66" s="493" t="n"/>
      <c r="D66" s="493" t="n"/>
      <c r="E66" s="493" t="n"/>
      <c r="F66" s="493" t="n"/>
      <c r="G66" s="493" t="n"/>
      <c r="H66" s="493" t="n"/>
      <c r="I66" s="493" t="n"/>
      <c r="J66" s="493" t="n"/>
      <c r="K66" s="493" t="n"/>
      <c r="L66" s="493" t="n"/>
      <c r="M66" s="493" t="n"/>
      <c r="N66" s="493" t="n"/>
      <c r="O66" s="493" t="n"/>
      <c r="P66" s="493" t="n"/>
      <c r="Q66" s="493" t="n"/>
      <c r="R66" s="493" t="n"/>
      <c r="S66" s="493" t="n"/>
      <c r="T66" s="493" t="n"/>
      <c r="U66" s="493" t="n"/>
      <c r="V66" s="493" t="n"/>
      <c r="W66" s="493" t="n"/>
      <c r="X66" s="493" t="n"/>
      <c r="Y66" s="493" t="n"/>
      <c r="Z66" s="493" t="n"/>
      <c r="AA66" s="493" t="n"/>
    </row>
    <row r="67" ht="15.75" customHeight="1" s="408">
      <c r="A67" s="493" t="n"/>
      <c r="B67" s="493" t="n"/>
      <c r="C67" s="493" t="n"/>
      <c r="D67" s="493" t="n"/>
      <c r="E67" s="493" t="n"/>
      <c r="F67" s="493" t="n"/>
      <c r="G67" s="493" t="n"/>
      <c r="H67" s="493" t="n"/>
      <c r="I67" s="493" t="n"/>
      <c r="J67" s="493" t="n"/>
      <c r="K67" s="493" t="n"/>
      <c r="L67" s="493" t="n"/>
      <c r="M67" s="493" t="n"/>
      <c r="N67" s="493" t="n"/>
      <c r="O67" s="493" t="n"/>
      <c r="P67" s="493" t="n"/>
      <c r="Q67" s="493" t="n"/>
      <c r="R67" s="493" t="n"/>
      <c r="S67" s="493" t="n"/>
      <c r="T67" s="493" t="n"/>
      <c r="U67" s="493" t="n"/>
      <c r="V67" s="493" t="n"/>
      <c r="W67" s="493" t="n"/>
      <c r="X67" s="493" t="n"/>
      <c r="Y67" s="493" t="n"/>
      <c r="Z67" s="493" t="n"/>
      <c r="AA67" s="493" t="n"/>
    </row>
    <row r="68" ht="15.75" customHeight="1" s="408">
      <c r="A68" s="493" t="n"/>
      <c r="B68" s="493" t="n"/>
      <c r="C68" s="493" t="n"/>
      <c r="D68" s="493" t="n"/>
      <c r="E68" s="493" t="n"/>
      <c r="F68" s="493" t="n"/>
      <c r="G68" s="493" t="n"/>
      <c r="H68" s="493" t="n"/>
      <c r="I68" s="493" t="n"/>
      <c r="J68" s="493" t="n"/>
      <c r="K68" s="493" t="n"/>
      <c r="L68" s="493" t="n"/>
      <c r="M68" s="493" t="n"/>
      <c r="N68" s="493" t="n"/>
      <c r="O68" s="493" t="n"/>
      <c r="P68" s="493" t="n"/>
      <c r="Q68" s="493" t="n"/>
      <c r="R68" s="493" t="n"/>
      <c r="S68" s="493" t="n"/>
      <c r="T68" s="493" t="n"/>
      <c r="U68" s="493" t="n"/>
      <c r="V68" s="493" t="n"/>
      <c r="W68" s="493" t="n"/>
      <c r="X68" s="493" t="n"/>
      <c r="Y68" s="493" t="n"/>
      <c r="Z68" s="493" t="n"/>
      <c r="AA68" s="493" t="n"/>
    </row>
    <row r="69" ht="15.75" customHeight="1" s="408">
      <c r="A69" s="493" t="n"/>
      <c r="B69" s="493" t="n"/>
      <c r="C69" s="493" t="n"/>
      <c r="D69" s="493" t="n"/>
      <c r="E69" s="493" t="n"/>
      <c r="F69" s="493" t="n"/>
      <c r="G69" s="493" t="n"/>
      <c r="H69" s="493" t="n"/>
      <c r="I69" s="493" t="n"/>
      <c r="J69" s="493" t="n"/>
      <c r="K69" s="493" t="n"/>
      <c r="L69" s="493" t="n"/>
      <c r="M69" s="493" t="n"/>
      <c r="N69" s="493" t="n"/>
      <c r="O69" s="493" t="n"/>
      <c r="P69" s="493" t="n"/>
      <c r="Q69" s="493" t="n"/>
      <c r="R69" s="493" t="n"/>
      <c r="S69" s="493" t="n"/>
      <c r="T69" s="493" t="n"/>
      <c r="U69" s="493" t="n"/>
      <c r="V69" s="493" t="n"/>
      <c r="W69" s="493" t="n"/>
      <c r="X69" s="493" t="n"/>
      <c r="Y69" s="493" t="n"/>
      <c r="Z69" s="493" t="n"/>
      <c r="AA69" s="493" t="n"/>
    </row>
    <row r="70" ht="15.75" customHeight="1" s="408">
      <c r="A70" s="493" t="n"/>
      <c r="B70" s="493" t="n"/>
      <c r="C70" s="493" t="n"/>
      <c r="D70" s="493" t="n"/>
      <c r="E70" s="493" t="n"/>
      <c r="F70" s="493" t="n"/>
      <c r="G70" s="493" t="n"/>
      <c r="H70" s="493" t="n"/>
      <c r="I70" s="493" t="n"/>
      <c r="J70" s="493" t="n"/>
      <c r="K70" s="493" t="n"/>
      <c r="L70" s="493" t="n"/>
      <c r="M70" s="493" t="n"/>
      <c r="N70" s="493" t="n"/>
      <c r="O70" s="493" t="n"/>
      <c r="P70" s="493" t="n"/>
      <c r="Q70" s="493" t="n"/>
      <c r="R70" s="493" t="n"/>
      <c r="S70" s="493" t="n"/>
      <c r="T70" s="493" t="n"/>
      <c r="U70" s="493" t="n"/>
      <c r="V70" s="493" t="n"/>
      <c r="W70" s="493" t="n"/>
      <c r="X70" s="493" t="n"/>
      <c r="Y70" s="493" t="n"/>
      <c r="Z70" s="493" t="n"/>
      <c r="AA70" s="493" t="n"/>
    </row>
    <row r="71" ht="15.75" customHeight="1" s="408">
      <c r="A71" s="493" t="n"/>
      <c r="B71" s="493" t="n"/>
      <c r="C71" s="493" t="n"/>
      <c r="D71" s="493" t="n"/>
      <c r="E71" s="493" t="n"/>
      <c r="F71" s="493" t="n"/>
      <c r="G71" s="493" t="n"/>
      <c r="H71" s="493" t="n"/>
      <c r="I71" s="493" t="n"/>
      <c r="J71" s="493" t="n"/>
      <c r="K71" s="493" t="n"/>
      <c r="L71" s="493" t="n"/>
      <c r="M71" s="493" t="n"/>
      <c r="N71" s="493" t="n"/>
      <c r="O71" s="493" t="n"/>
      <c r="P71" s="493" t="n"/>
      <c r="Q71" s="493" t="n"/>
      <c r="R71" s="493" t="n"/>
      <c r="S71" s="493" t="n"/>
      <c r="T71" s="493" t="n"/>
      <c r="U71" s="493" t="n"/>
      <c r="V71" s="493" t="n"/>
      <c r="W71" s="493" t="n"/>
      <c r="X71" s="493" t="n"/>
      <c r="Y71" s="493" t="n"/>
      <c r="Z71" s="493" t="n"/>
      <c r="AA71" s="493" t="n"/>
    </row>
    <row r="72" ht="15.75" customHeight="1" s="408">
      <c r="A72" s="493" t="n"/>
      <c r="B72" s="493" t="n"/>
      <c r="C72" s="493" t="n"/>
      <c r="D72" s="493" t="n"/>
      <c r="E72" s="493" t="n"/>
      <c r="F72" s="493" t="n"/>
      <c r="G72" s="493" t="n"/>
      <c r="H72" s="493" t="n"/>
      <c r="I72" s="493" t="n"/>
      <c r="J72" s="493" t="n"/>
      <c r="K72" s="493" t="n"/>
      <c r="L72" s="493" t="n"/>
      <c r="M72" s="493" t="n"/>
      <c r="N72" s="493" t="n"/>
      <c r="O72" s="493" t="n"/>
      <c r="P72" s="493" t="n"/>
      <c r="Q72" s="493" t="n"/>
      <c r="R72" s="493" t="n"/>
      <c r="S72" s="493" t="n"/>
      <c r="T72" s="493" t="n"/>
      <c r="U72" s="493" t="n"/>
      <c r="V72" s="493" t="n"/>
      <c r="W72" s="493" t="n"/>
      <c r="X72" s="493" t="n"/>
      <c r="Y72" s="493" t="n"/>
      <c r="Z72" s="493" t="n"/>
      <c r="AA72" s="493" t="n"/>
    </row>
    <row r="73" ht="15.75" customHeight="1" s="408">
      <c r="A73" s="493" t="n"/>
      <c r="B73" s="493" t="n"/>
      <c r="C73" s="493" t="n"/>
      <c r="D73" s="493" t="n"/>
      <c r="E73" s="493" t="n"/>
      <c r="F73" s="493" t="n"/>
      <c r="G73" s="493" t="n"/>
      <c r="H73" s="493" t="n"/>
      <c r="I73" s="493" t="n"/>
      <c r="J73" s="493" t="n"/>
      <c r="K73" s="493" t="n"/>
      <c r="L73" s="493" t="n"/>
      <c r="M73" s="493" t="n"/>
      <c r="N73" s="493" t="n"/>
      <c r="O73" s="493" t="n"/>
      <c r="P73" s="493" t="n"/>
      <c r="Q73" s="493" t="n"/>
      <c r="R73" s="493" t="n"/>
      <c r="S73" s="493" t="n"/>
      <c r="T73" s="493" t="n"/>
      <c r="U73" s="493" t="n"/>
      <c r="V73" s="493" t="n"/>
      <c r="W73" s="493" t="n"/>
      <c r="X73" s="493" t="n"/>
      <c r="Y73" s="493" t="n"/>
      <c r="Z73" s="493" t="n"/>
      <c r="AA73" s="493" t="n"/>
    </row>
    <row r="74" ht="15.75" customHeight="1" s="408">
      <c r="A74" s="493" t="n"/>
      <c r="B74" s="493" t="n"/>
      <c r="C74" s="493" t="n"/>
      <c r="D74" s="493" t="n"/>
      <c r="E74" s="493" t="n"/>
      <c r="F74" s="493" t="n"/>
      <c r="G74" s="493" t="n"/>
      <c r="H74" s="493" t="n"/>
      <c r="I74" s="493" t="n"/>
      <c r="J74" s="493" t="n"/>
      <c r="K74" s="493" t="n"/>
      <c r="L74" s="493" t="n"/>
      <c r="M74" s="493" t="n"/>
      <c r="N74" s="493" t="n"/>
      <c r="O74" s="493" t="n"/>
      <c r="P74" s="493" t="n"/>
      <c r="Q74" s="493" t="n"/>
      <c r="R74" s="493" t="n"/>
      <c r="S74" s="493" t="n"/>
      <c r="T74" s="493" t="n"/>
      <c r="U74" s="493" t="n"/>
      <c r="V74" s="493" t="n"/>
      <c r="W74" s="493" t="n"/>
      <c r="X74" s="493" t="n"/>
      <c r="Y74" s="493" t="n"/>
      <c r="Z74" s="493" t="n"/>
      <c r="AA74" s="493" t="n"/>
    </row>
    <row r="75" ht="15.75" customHeight="1" s="408">
      <c r="A75" s="493" t="n"/>
      <c r="B75" s="493" t="n"/>
      <c r="C75" s="493" t="n"/>
      <c r="D75" s="493" t="n"/>
      <c r="E75" s="493" t="n"/>
      <c r="F75" s="493" t="n"/>
      <c r="G75" s="493" t="n"/>
      <c r="H75" s="493" t="n"/>
      <c r="I75" s="493" t="n"/>
      <c r="J75" s="493" t="n"/>
      <c r="K75" s="493" t="n"/>
      <c r="L75" s="493" t="n"/>
      <c r="M75" s="493" t="n"/>
      <c r="N75" s="493" t="n"/>
      <c r="O75" s="493" t="n"/>
      <c r="P75" s="493" t="n"/>
      <c r="Q75" s="493" t="n"/>
      <c r="R75" s="493" t="n"/>
      <c r="S75" s="493" t="n"/>
      <c r="T75" s="493" t="n"/>
      <c r="U75" s="493" t="n"/>
      <c r="V75" s="493" t="n"/>
      <c r="W75" s="493" t="n"/>
      <c r="X75" s="493" t="n"/>
      <c r="Y75" s="493" t="n"/>
      <c r="Z75" s="493" t="n"/>
      <c r="AA75" s="493" t="n"/>
    </row>
    <row r="76" ht="15.75" customHeight="1" s="408">
      <c r="A76" s="493" t="n"/>
      <c r="B76" s="493" t="n"/>
      <c r="C76" s="493" t="n"/>
      <c r="D76" s="493" t="n"/>
      <c r="E76" s="493" t="n"/>
      <c r="F76" s="493" t="n"/>
      <c r="G76" s="493" t="n"/>
      <c r="H76" s="493" t="n"/>
      <c r="I76" s="493" t="n"/>
      <c r="J76" s="493" t="n"/>
      <c r="K76" s="493" t="n"/>
      <c r="L76" s="493" t="n"/>
      <c r="M76" s="493" t="n"/>
      <c r="N76" s="493" t="n"/>
      <c r="O76" s="493" t="n"/>
      <c r="P76" s="493" t="n"/>
      <c r="Q76" s="493" t="n"/>
      <c r="R76" s="493" t="n"/>
      <c r="S76" s="493" t="n"/>
      <c r="T76" s="493" t="n"/>
      <c r="U76" s="493" t="n"/>
      <c r="V76" s="493" t="n"/>
      <c r="W76" s="493" t="n"/>
      <c r="X76" s="493" t="n"/>
      <c r="Y76" s="493" t="n"/>
      <c r="Z76" s="493" t="n"/>
      <c r="AA76" s="493" t="n"/>
    </row>
    <row r="77" ht="15.75" customHeight="1" s="408">
      <c r="A77" s="493" t="n"/>
      <c r="B77" s="493" t="n"/>
      <c r="C77" s="493" t="n"/>
      <c r="D77" s="493" t="n"/>
      <c r="E77" s="493" t="n"/>
      <c r="F77" s="493" t="n"/>
      <c r="G77" s="493" t="n"/>
      <c r="H77" s="493" t="n"/>
      <c r="I77" s="493" t="n"/>
      <c r="J77" s="493" t="n"/>
      <c r="K77" s="493" t="n"/>
      <c r="L77" s="493" t="n"/>
      <c r="M77" s="493" t="n"/>
      <c r="N77" s="493" t="n"/>
      <c r="O77" s="493" t="n"/>
      <c r="P77" s="493" t="n"/>
      <c r="Q77" s="493" t="n"/>
      <c r="R77" s="493" t="n"/>
      <c r="S77" s="493" t="n"/>
      <c r="T77" s="493" t="n"/>
      <c r="U77" s="493" t="n"/>
      <c r="V77" s="493" t="n"/>
      <c r="W77" s="493" t="n"/>
      <c r="X77" s="493" t="n"/>
      <c r="Y77" s="493" t="n"/>
      <c r="Z77" s="493" t="n"/>
      <c r="AA77" s="493" t="n"/>
    </row>
    <row r="78" ht="15.75" customHeight="1" s="408">
      <c r="A78" s="493" t="n"/>
      <c r="B78" s="493" t="n"/>
      <c r="C78" s="493" t="n"/>
      <c r="D78" s="493" t="n"/>
      <c r="E78" s="493" t="n"/>
      <c r="F78" s="493" t="n"/>
      <c r="G78" s="493" t="n"/>
      <c r="H78" s="493" t="n"/>
      <c r="I78" s="493" t="n"/>
      <c r="J78" s="493" t="n"/>
      <c r="K78" s="493" t="n"/>
      <c r="L78" s="493" t="n"/>
      <c r="M78" s="493" t="n"/>
      <c r="N78" s="493" t="n"/>
      <c r="O78" s="493" t="n"/>
      <c r="P78" s="493" t="n"/>
      <c r="Q78" s="493" t="n"/>
      <c r="R78" s="493" t="n"/>
      <c r="S78" s="493" t="n"/>
      <c r="T78" s="493" t="n"/>
      <c r="U78" s="493" t="n"/>
      <c r="V78" s="493" t="n"/>
      <c r="W78" s="493" t="n"/>
      <c r="X78" s="493" t="n"/>
      <c r="Y78" s="493" t="n"/>
      <c r="Z78" s="493" t="n"/>
      <c r="AA78" s="493" t="n"/>
    </row>
    <row r="79" ht="15.75" customHeight="1" s="408">
      <c r="A79" s="493" t="n"/>
      <c r="B79" s="493" t="n"/>
      <c r="C79" s="493" t="n"/>
      <c r="D79" s="493" t="n"/>
      <c r="E79" s="493" t="n"/>
      <c r="F79" s="493" t="n"/>
      <c r="G79" s="493" t="n"/>
      <c r="H79" s="493" t="n"/>
      <c r="I79" s="493" t="n"/>
      <c r="J79" s="493" t="n"/>
      <c r="K79" s="493" t="n"/>
      <c r="L79" s="493" t="n"/>
      <c r="M79" s="493" t="n"/>
      <c r="N79" s="493" t="n"/>
      <c r="O79" s="493" t="n"/>
      <c r="P79" s="493" t="n"/>
      <c r="Q79" s="493" t="n"/>
      <c r="R79" s="493" t="n"/>
      <c r="S79" s="493" t="n"/>
      <c r="T79" s="493" t="n"/>
      <c r="U79" s="493" t="n"/>
      <c r="V79" s="493" t="n"/>
      <c r="W79" s="493" t="n"/>
      <c r="X79" s="493" t="n"/>
      <c r="Y79" s="493" t="n"/>
      <c r="Z79" s="493" t="n"/>
      <c r="AA79" s="493" t="n"/>
    </row>
    <row r="80" ht="15.75" customHeight="1" s="408">
      <c r="A80" s="493" t="n"/>
      <c r="B80" s="493" t="n"/>
      <c r="C80" s="493" t="n"/>
      <c r="D80" s="493" t="n"/>
      <c r="E80" s="493" t="n"/>
      <c r="F80" s="493" t="n"/>
      <c r="G80" s="493" t="n"/>
      <c r="H80" s="493" t="n"/>
      <c r="I80" s="493" t="n"/>
      <c r="J80" s="493" t="n"/>
      <c r="K80" s="493" t="n"/>
      <c r="L80" s="493" t="n"/>
      <c r="M80" s="493" t="n"/>
      <c r="N80" s="493" t="n"/>
      <c r="O80" s="493" t="n"/>
      <c r="P80" s="493" t="n"/>
      <c r="Q80" s="493" t="n"/>
      <c r="R80" s="493" t="n"/>
      <c r="S80" s="493" t="n"/>
      <c r="T80" s="493" t="n"/>
      <c r="U80" s="493" t="n"/>
      <c r="V80" s="493" t="n"/>
      <c r="W80" s="493" t="n"/>
      <c r="X80" s="493" t="n"/>
      <c r="Y80" s="493" t="n"/>
      <c r="Z80" s="493" t="n"/>
      <c r="AA80" s="493" t="n"/>
    </row>
    <row r="81" ht="15.75" customHeight="1" s="408">
      <c r="A81" s="493" t="n"/>
      <c r="B81" s="493" t="n"/>
      <c r="C81" s="493" t="n"/>
      <c r="D81" s="493" t="n"/>
      <c r="E81" s="493" t="n"/>
      <c r="F81" s="493" t="n"/>
      <c r="G81" s="493" t="n"/>
      <c r="H81" s="493" t="n"/>
      <c r="I81" s="493" t="n"/>
      <c r="J81" s="493" t="n"/>
      <c r="K81" s="493" t="n"/>
      <c r="L81" s="493" t="n"/>
      <c r="M81" s="493" t="n"/>
      <c r="N81" s="493" t="n"/>
      <c r="O81" s="493" t="n"/>
      <c r="P81" s="493" t="n"/>
      <c r="Q81" s="493" t="n"/>
      <c r="R81" s="493" t="n"/>
      <c r="S81" s="493" t="n"/>
      <c r="T81" s="493" t="n"/>
      <c r="U81" s="493" t="n"/>
      <c r="V81" s="493" t="n"/>
      <c r="W81" s="493" t="n"/>
      <c r="X81" s="493" t="n"/>
      <c r="Y81" s="493" t="n"/>
      <c r="Z81" s="493" t="n"/>
      <c r="AA81" s="493" t="n"/>
    </row>
    <row r="82" ht="15.75" customHeight="1" s="408">
      <c r="A82" s="493" t="n"/>
      <c r="B82" s="493" t="n"/>
      <c r="C82" s="493" t="n"/>
      <c r="D82" s="493" t="n"/>
      <c r="E82" s="493" t="n"/>
      <c r="F82" s="493" t="n"/>
      <c r="G82" s="493" t="n"/>
      <c r="H82" s="493" t="n"/>
      <c r="I82" s="493" t="n"/>
      <c r="J82" s="493" t="n"/>
      <c r="K82" s="493" t="n"/>
      <c r="L82" s="493" t="n"/>
      <c r="M82" s="493" t="n"/>
      <c r="N82" s="493" t="n"/>
      <c r="O82" s="493" t="n"/>
      <c r="P82" s="493" t="n"/>
      <c r="Q82" s="493" t="n"/>
      <c r="R82" s="493" t="n"/>
      <c r="S82" s="493" t="n"/>
      <c r="T82" s="493" t="n"/>
      <c r="U82" s="493" t="n"/>
      <c r="V82" s="493" t="n"/>
      <c r="W82" s="493" t="n"/>
      <c r="X82" s="493" t="n"/>
      <c r="Y82" s="493" t="n"/>
      <c r="Z82" s="493" t="n"/>
      <c r="AA82" s="493" t="n"/>
    </row>
    <row r="83" ht="15.75" customHeight="1" s="408">
      <c r="A83" s="493" t="n"/>
      <c r="B83" s="493" t="n"/>
      <c r="C83" s="493" t="n"/>
      <c r="D83" s="493" t="n"/>
      <c r="E83" s="493" t="n"/>
      <c r="F83" s="493" t="n"/>
      <c r="G83" s="493" t="n"/>
      <c r="H83" s="493" t="n"/>
      <c r="I83" s="493" t="n"/>
      <c r="J83" s="493" t="n"/>
      <c r="K83" s="493" t="n"/>
      <c r="L83" s="493" t="n"/>
      <c r="M83" s="493" t="n"/>
      <c r="N83" s="493" t="n"/>
      <c r="O83" s="493" t="n"/>
      <c r="P83" s="493" t="n"/>
      <c r="Q83" s="493" t="n"/>
      <c r="R83" s="493" t="n"/>
      <c r="S83" s="493" t="n"/>
      <c r="T83" s="493" t="n"/>
      <c r="U83" s="493" t="n"/>
      <c r="V83" s="493" t="n"/>
      <c r="W83" s="493" t="n"/>
      <c r="X83" s="493" t="n"/>
      <c r="Y83" s="493" t="n"/>
      <c r="Z83" s="493" t="n"/>
      <c r="AA83" s="493" t="n"/>
    </row>
    <row r="84" ht="15.75" customHeight="1" s="408">
      <c r="A84" s="493" t="n"/>
      <c r="B84" s="493" t="n"/>
      <c r="C84" s="493" t="n"/>
      <c r="D84" s="493" t="n"/>
      <c r="E84" s="493" t="n"/>
      <c r="F84" s="493" t="n"/>
      <c r="G84" s="493" t="n"/>
      <c r="H84" s="493" t="n"/>
      <c r="I84" s="493" t="n"/>
      <c r="J84" s="493" t="n"/>
      <c r="K84" s="493" t="n"/>
      <c r="L84" s="493" t="n"/>
      <c r="M84" s="493" t="n"/>
      <c r="N84" s="493" t="n"/>
      <c r="O84" s="493" t="n"/>
      <c r="P84" s="493" t="n"/>
      <c r="Q84" s="493" t="n"/>
      <c r="R84" s="493" t="n"/>
      <c r="S84" s="493" t="n"/>
      <c r="T84" s="493" t="n"/>
      <c r="U84" s="493" t="n"/>
      <c r="V84" s="493" t="n"/>
      <c r="W84" s="493" t="n"/>
      <c r="X84" s="493" t="n"/>
      <c r="Y84" s="493" t="n"/>
      <c r="Z84" s="493" t="n"/>
      <c r="AA84" s="493" t="n"/>
    </row>
    <row r="85" ht="15.75" customHeight="1" s="408">
      <c r="A85" s="493" t="n"/>
      <c r="B85" s="493" t="n"/>
      <c r="C85" s="493" t="n"/>
      <c r="D85" s="493" t="n"/>
      <c r="E85" s="493" t="n"/>
      <c r="F85" s="493" t="n"/>
      <c r="G85" s="493" t="n"/>
      <c r="H85" s="493" t="n"/>
      <c r="I85" s="493" t="n"/>
      <c r="J85" s="493" t="n"/>
      <c r="K85" s="493" t="n"/>
      <c r="L85" s="493" t="n"/>
      <c r="M85" s="493" t="n"/>
      <c r="N85" s="493" t="n"/>
      <c r="O85" s="493" t="n"/>
      <c r="P85" s="493" t="n"/>
      <c r="Q85" s="493" t="n"/>
      <c r="R85" s="493" t="n"/>
      <c r="S85" s="493" t="n"/>
      <c r="T85" s="493" t="n"/>
      <c r="U85" s="493" t="n"/>
      <c r="V85" s="493" t="n"/>
      <c r="W85" s="493" t="n"/>
      <c r="X85" s="493" t="n"/>
      <c r="Y85" s="493" t="n"/>
      <c r="Z85" s="493" t="n"/>
      <c r="AA85" s="493" t="n"/>
    </row>
    <row r="86" ht="15.75" customHeight="1" s="408">
      <c r="A86" s="493" t="n"/>
      <c r="B86" s="493" t="n"/>
      <c r="C86" s="493" t="n"/>
      <c r="D86" s="493" t="n"/>
      <c r="E86" s="493" t="n"/>
      <c r="F86" s="493" t="n"/>
      <c r="G86" s="493" t="n"/>
      <c r="H86" s="493" t="n"/>
      <c r="I86" s="493" t="n"/>
      <c r="J86" s="493" t="n"/>
      <c r="K86" s="493" t="n"/>
      <c r="L86" s="493" t="n"/>
      <c r="M86" s="493" t="n"/>
      <c r="N86" s="493" t="n"/>
      <c r="O86" s="493" t="n"/>
      <c r="P86" s="493" t="n"/>
      <c r="Q86" s="493" t="n"/>
      <c r="R86" s="493" t="n"/>
      <c r="S86" s="493" t="n"/>
      <c r="T86" s="493" t="n"/>
      <c r="U86" s="493" t="n"/>
      <c r="V86" s="493" t="n"/>
      <c r="W86" s="493" t="n"/>
      <c r="X86" s="493" t="n"/>
      <c r="Y86" s="493" t="n"/>
      <c r="Z86" s="493" t="n"/>
      <c r="AA86" s="493" t="n"/>
    </row>
    <row r="87" ht="15.75" customHeight="1" s="408">
      <c r="A87" s="493" t="n"/>
      <c r="B87" s="493" t="n"/>
      <c r="C87" s="493" t="n"/>
      <c r="D87" s="493" t="n"/>
      <c r="E87" s="493" t="n"/>
      <c r="F87" s="493" t="n"/>
      <c r="G87" s="493" t="n"/>
      <c r="H87" s="493" t="n"/>
      <c r="I87" s="493" t="n"/>
      <c r="J87" s="493" t="n"/>
      <c r="K87" s="493" t="n"/>
      <c r="L87" s="493" t="n"/>
      <c r="M87" s="493" t="n"/>
      <c r="N87" s="493" t="n"/>
      <c r="O87" s="493" t="n"/>
      <c r="P87" s="493" t="n"/>
      <c r="Q87" s="493" t="n"/>
      <c r="R87" s="493" t="n"/>
      <c r="S87" s="493" t="n"/>
      <c r="T87" s="493" t="n"/>
      <c r="U87" s="493" t="n"/>
      <c r="V87" s="493" t="n"/>
      <c r="W87" s="493" t="n"/>
      <c r="X87" s="493" t="n"/>
      <c r="Y87" s="493" t="n"/>
      <c r="Z87" s="493" t="n"/>
      <c r="AA87" s="493" t="n"/>
    </row>
    <row r="88" ht="15.75" customHeight="1" s="408">
      <c r="A88" s="493" t="n"/>
      <c r="B88" s="493" t="n"/>
      <c r="C88" s="493" t="n"/>
      <c r="D88" s="493" t="n"/>
      <c r="E88" s="493" t="n"/>
      <c r="F88" s="493" t="n"/>
      <c r="G88" s="493" t="n"/>
      <c r="H88" s="493" t="n"/>
      <c r="I88" s="493" t="n"/>
      <c r="J88" s="493" t="n"/>
      <c r="K88" s="493" t="n"/>
      <c r="L88" s="493" t="n"/>
      <c r="M88" s="493" t="n"/>
      <c r="N88" s="493" t="n"/>
      <c r="O88" s="493" t="n"/>
      <c r="P88" s="493" t="n"/>
      <c r="Q88" s="493" t="n"/>
      <c r="R88" s="493" t="n"/>
      <c r="S88" s="493" t="n"/>
      <c r="T88" s="493" t="n"/>
      <c r="U88" s="493" t="n"/>
      <c r="V88" s="493" t="n"/>
      <c r="W88" s="493" t="n"/>
      <c r="X88" s="493" t="n"/>
      <c r="Y88" s="493" t="n"/>
      <c r="Z88" s="493" t="n"/>
      <c r="AA88" s="493" t="n"/>
    </row>
    <row r="89" ht="15.75" customHeight="1" s="408">
      <c r="A89" s="493" t="n"/>
      <c r="B89" s="493" t="n"/>
      <c r="C89" s="493" t="n"/>
      <c r="D89" s="493" t="n"/>
      <c r="E89" s="493" t="n"/>
      <c r="F89" s="493" t="n"/>
      <c r="G89" s="493" t="n"/>
      <c r="H89" s="493" t="n"/>
      <c r="I89" s="493" t="n"/>
      <c r="J89" s="493" t="n"/>
      <c r="K89" s="493" t="n"/>
      <c r="L89" s="493" t="n"/>
      <c r="M89" s="493" t="n"/>
      <c r="N89" s="493" t="n"/>
      <c r="O89" s="493" t="n"/>
      <c r="P89" s="493" t="n"/>
      <c r="Q89" s="493" t="n"/>
      <c r="R89" s="493" t="n"/>
      <c r="S89" s="493" t="n"/>
      <c r="T89" s="493" t="n"/>
      <c r="U89" s="493" t="n"/>
      <c r="V89" s="493" t="n"/>
      <c r="W89" s="493" t="n"/>
      <c r="X89" s="493" t="n"/>
      <c r="Y89" s="493" t="n"/>
      <c r="Z89" s="493" t="n"/>
      <c r="AA89" s="493" t="n"/>
    </row>
    <row r="90" ht="15.75" customHeight="1" s="408">
      <c r="A90" s="493" t="n"/>
      <c r="B90" s="493" t="n"/>
      <c r="C90" s="493" t="n"/>
      <c r="D90" s="493" t="n"/>
      <c r="E90" s="493" t="n"/>
      <c r="F90" s="493" t="n"/>
      <c r="G90" s="493" t="n"/>
      <c r="H90" s="493" t="n"/>
      <c r="I90" s="493" t="n"/>
      <c r="J90" s="493" t="n"/>
      <c r="K90" s="493" t="n"/>
      <c r="L90" s="493" t="n"/>
      <c r="M90" s="493" t="n"/>
      <c r="N90" s="493" t="n"/>
      <c r="O90" s="493" t="n"/>
      <c r="P90" s="493" t="n"/>
      <c r="Q90" s="493" t="n"/>
      <c r="R90" s="493" t="n"/>
      <c r="S90" s="493" t="n"/>
      <c r="T90" s="493" t="n"/>
      <c r="U90" s="493" t="n"/>
      <c r="V90" s="493" t="n"/>
      <c r="W90" s="493" t="n"/>
      <c r="X90" s="493" t="n"/>
      <c r="Y90" s="493" t="n"/>
      <c r="Z90" s="493" t="n"/>
      <c r="AA90" s="493" t="n"/>
    </row>
    <row r="91" ht="15.75" customHeight="1" s="408">
      <c r="A91" s="493" t="n"/>
      <c r="B91" s="493" t="n"/>
      <c r="C91" s="493" t="n"/>
      <c r="D91" s="493" t="n"/>
      <c r="E91" s="493" t="n"/>
      <c r="F91" s="493" t="n"/>
      <c r="G91" s="493" t="n"/>
      <c r="H91" s="493" t="n"/>
      <c r="I91" s="493" t="n"/>
      <c r="J91" s="493" t="n"/>
      <c r="K91" s="493" t="n"/>
      <c r="L91" s="493" t="n"/>
      <c r="M91" s="493" t="n"/>
      <c r="N91" s="493" t="n"/>
      <c r="O91" s="493" t="n"/>
      <c r="P91" s="493" t="n"/>
      <c r="Q91" s="493" t="n"/>
      <c r="R91" s="493" t="n"/>
      <c r="S91" s="493" t="n"/>
      <c r="T91" s="493" t="n"/>
      <c r="U91" s="493" t="n"/>
      <c r="V91" s="493" t="n"/>
      <c r="W91" s="493" t="n"/>
      <c r="X91" s="493" t="n"/>
      <c r="Y91" s="493" t="n"/>
      <c r="Z91" s="493" t="n"/>
      <c r="AA91" s="493" t="n"/>
    </row>
    <row r="92" ht="15.75" customHeight="1" s="408">
      <c r="A92" s="493" t="n"/>
      <c r="B92" s="493" t="n"/>
      <c r="C92" s="493" t="n"/>
      <c r="D92" s="493" t="n"/>
      <c r="E92" s="493" t="n"/>
      <c r="F92" s="493" t="n"/>
      <c r="G92" s="493" t="n"/>
      <c r="H92" s="493" t="n"/>
      <c r="I92" s="493" t="n"/>
      <c r="J92" s="493" t="n"/>
      <c r="K92" s="493" t="n"/>
      <c r="L92" s="493" t="n"/>
      <c r="M92" s="493" t="n"/>
      <c r="N92" s="493" t="n"/>
      <c r="O92" s="493" t="n"/>
      <c r="P92" s="493" t="n"/>
      <c r="Q92" s="493" t="n"/>
      <c r="R92" s="493" t="n"/>
      <c r="S92" s="493" t="n"/>
      <c r="T92" s="493" t="n"/>
      <c r="U92" s="493" t="n"/>
      <c r="V92" s="493" t="n"/>
      <c r="W92" s="493" t="n"/>
      <c r="X92" s="493" t="n"/>
      <c r="Y92" s="493" t="n"/>
      <c r="Z92" s="493" t="n"/>
      <c r="AA92" s="493" t="n"/>
    </row>
    <row r="93" ht="15.75" customHeight="1" s="408">
      <c r="A93" s="493" t="n"/>
      <c r="B93" s="493" t="n"/>
      <c r="C93" s="493" t="n"/>
      <c r="D93" s="493" t="n"/>
      <c r="E93" s="493" t="n"/>
      <c r="F93" s="493" t="n"/>
      <c r="G93" s="493" t="n"/>
      <c r="H93" s="493" t="n"/>
      <c r="I93" s="493" t="n"/>
      <c r="J93" s="493" t="n"/>
      <c r="K93" s="493" t="n"/>
      <c r="L93" s="493" t="n"/>
      <c r="M93" s="493" t="n"/>
      <c r="N93" s="493" t="n"/>
      <c r="O93" s="493" t="n"/>
      <c r="P93" s="493" t="n"/>
      <c r="Q93" s="493" t="n"/>
      <c r="R93" s="493" t="n"/>
      <c r="S93" s="493" t="n"/>
      <c r="T93" s="493" t="n"/>
      <c r="U93" s="493" t="n"/>
      <c r="V93" s="493" t="n"/>
      <c r="W93" s="493" t="n"/>
      <c r="X93" s="493" t="n"/>
      <c r="Y93" s="493" t="n"/>
      <c r="Z93" s="493" t="n"/>
      <c r="AA93" s="493" t="n"/>
    </row>
    <row r="94" ht="15.75" customHeight="1" s="408">
      <c r="A94" s="493" t="n"/>
      <c r="B94" s="493" t="n"/>
      <c r="C94" s="493" t="n"/>
      <c r="D94" s="493" t="n"/>
      <c r="E94" s="493" t="n"/>
      <c r="F94" s="493" t="n"/>
      <c r="G94" s="493" t="n"/>
      <c r="H94" s="493" t="n"/>
      <c r="I94" s="493" t="n"/>
      <c r="J94" s="493" t="n"/>
      <c r="K94" s="493" t="n"/>
      <c r="L94" s="493" t="n"/>
      <c r="M94" s="493" t="n"/>
      <c r="N94" s="493" t="n"/>
      <c r="O94" s="493" t="n"/>
      <c r="P94" s="493" t="n"/>
      <c r="Q94" s="493" t="n"/>
      <c r="R94" s="493" t="n"/>
      <c r="S94" s="493" t="n"/>
      <c r="T94" s="493" t="n"/>
      <c r="U94" s="493" t="n"/>
      <c r="V94" s="493" t="n"/>
      <c r="W94" s="493" t="n"/>
      <c r="X94" s="493" t="n"/>
      <c r="Y94" s="493" t="n"/>
      <c r="Z94" s="493" t="n"/>
      <c r="AA94" s="493" t="n"/>
    </row>
    <row r="95" ht="15.75" customHeight="1" s="408">
      <c r="A95" s="493" t="n"/>
      <c r="B95" s="493" t="n"/>
      <c r="C95" s="493" t="n"/>
      <c r="D95" s="493" t="n"/>
      <c r="E95" s="493" t="n"/>
      <c r="F95" s="493" t="n"/>
      <c r="G95" s="493" t="n"/>
      <c r="H95" s="493" t="n"/>
      <c r="I95" s="493" t="n"/>
      <c r="J95" s="493" t="n"/>
      <c r="K95" s="493" t="n"/>
      <c r="L95" s="493" t="n"/>
      <c r="M95" s="493" t="n"/>
      <c r="N95" s="493" t="n"/>
      <c r="O95" s="493" t="n"/>
      <c r="P95" s="493" t="n"/>
      <c r="Q95" s="493" t="n"/>
      <c r="R95" s="493" t="n"/>
      <c r="S95" s="493" t="n"/>
      <c r="T95" s="493" t="n"/>
      <c r="U95" s="493" t="n"/>
      <c r="V95" s="493" t="n"/>
      <c r="W95" s="493" t="n"/>
      <c r="X95" s="493" t="n"/>
      <c r="Y95" s="493" t="n"/>
      <c r="Z95" s="493" t="n"/>
      <c r="AA95" s="493" t="n"/>
    </row>
    <row r="96" ht="15.75" customHeight="1" s="408">
      <c r="A96" s="493" t="n"/>
      <c r="B96" s="493" t="n"/>
      <c r="C96" s="493" t="n"/>
      <c r="D96" s="493" t="n"/>
      <c r="E96" s="493" t="n"/>
      <c r="F96" s="493" t="n"/>
      <c r="G96" s="493" t="n"/>
      <c r="H96" s="493" t="n"/>
      <c r="I96" s="493" t="n"/>
      <c r="J96" s="493" t="n"/>
      <c r="K96" s="493" t="n"/>
      <c r="L96" s="493" t="n"/>
      <c r="M96" s="493" t="n"/>
      <c r="N96" s="493" t="n"/>
      <c r="O96" s="493" t="n"/>
      <c r="P96" s="493" t="n"/>
      <c r="Q96" s="493" t="n"/>
      <c r="R96" s="493" t="n"/>
      <c r="S96" s="493" t="n"/>
      <c r="T96" s="493" t="n"/>
      <c r="U96" s="493" t="n"/>
      <c r="V96" s="493" t="n"/>
      <c r="W96" s="493" t="n"/>
      <c r="X96" s="493" t="n"/>
      <c r="Y96" s="493" t="n"/>
      <c r="Z96" s="493" t="n"/>
      <c r="AA96" s="493" t="n"/>
    </row>
    <row r="97" ht="15.75" customHeight="1" s="408">
      <c r="A97" s="493" t="n"/>
      <c r="B97" s="493" t="n"/>
      <c r="C97" s="493" t="n"/>
      <c r="D97" s="493" t="n"/>
      <c r="E97" s="493" t="n"/>
      <c r="F97" s="493" t="n"/>
      <c r="G97" s="493" t="n"/>
      <c r="H97" s="493" t="n"/>
      <c r="I97" s="493" t="n"/>
      <c r="J97" s="493" t="n"/>
      <c r="K97" s="493" t="n"/>
      <c r="L97" s="493" t="n"/>
      <c r="M97" s="493" t="n"/>
      <c r="N97" s="493" t="n"/>
      <c r="O97" s="493" t="n"/>
      <c r="P97" s="493" t="n"/>
      <c r="Q97" s="493" t="n"/>
      <c r="R97" s="493" t="n"/>
      <c r="S97" s="493" t="n"/>
      <c r="T97" s="493" t="n"/>
      <c r="U97" s="493" t="n"/>
      <c r="V97" s="493" t="n"/>
      <c r="W97" s="493" t="n"/>
      <c r="X97" s="493" t="n"/>
      <c r="Y97" s="493" t="n"/>
      <c r="Z97" s="493" t="n"/>
      <c r="AA97" s="493" t="n"/>
    </row>
    <row r="98" ht="15.75" customHeight="1" s="408">
      <c r="A98" s="493" t="n"/>
      <c r="B98" s="493" t="n"/>
      <c r="C98" s="493" t="n"/>
      <c r="D98" s="493" t="n"/>
      <c r="E98" s="493" t="n"/>
      <c r="F98" s="493" t="n"/>
      <c r="G98" s="493" t="n"/>
      <c r="H98" s="493" t="n"/>
      <c r="I98" s="493" t="n"/>
      <c r="J98" s="493" t="n"/>
      <c r="K98" s="493" t="n"/>
      <c r="L98" s="493" t="n"/>
      <c r="M98" s="493" t="n"/>
      <c r="N98" s="493" t="n"/>
      <c r="O98" s="493" t="n"/>
      <c r="P98" s="493" t="n"/>
      <c r="Q98" s="493" t="n"/>
      <c r="R98" s="493" t="n"/>
      <c r="S98" s="493" t="n"/>
      <c r="T98" s="493" t="n"/>
      <c r="U98" s="493" t="n"/>
      <c r="V98" s="493" t="n"/>
      <c r="W98" s="493" t="n"/>
      <c r="X98" s="493" t="n"/>
      <c r="Y98" s="493" t="n"/>
      <c r="Z98" s="493" t="n"/>
      <c r="AA98" s="493" t="n"/>
    </row>
    <row r="99" ht="15.75" customHeight="1" s="408">
      <c r="A99" s="493" t="n"/>
      <c r="B99" s="493" t="n"/>
      <c r="C99" s="493" t="n"/>
      <c r="D99" s="493" t="n"/>
      <c r="E99" s="493" t="n"/>
      <c r="F99" s="493" t="n"/>
      <c r="G99" s="493" t="n"/>
      <c r="H99" s="493" t="n"/>
      <c r="I99" s="493" t="n"/>
      <c r="J99" s="493" t="n"/>
      <c r="K99" s="493" t="n"/>
      <c r="L99" s="493" t="n"/>
      <c r="M99" s="493" t="n"/>
      <c r="N99" s="493" t="n"/>
      <c r="O99" s="493" t="n"/>
      <c r="P99" s="493" t="n"/>
      <c r="Q99" s="493" t="n"/>
      <c r="R99" s="493" t="n"/>
      <c r="S99" s="493" t="n"/>
      <c r="T99" s="493" t="n"/>
      <c r="U99" s="493" t="n"/>
      <c r="V99" s="493" t="n"/>
      <c r="W99" s="493" t="n"/>
      <c r="X99" s="493" t="n"/>
      <c r="Y99" s="493" t="n"/>
      <c r="Z99" s="493" t="n"/>
      <c r="AA99" s="493" t="n"/>
    </row>
    <row r="100" ht="15.75" customHeight="1" s="408">
      <c r="A100" s="493" t="n"/>
      <c r="B100" s="493" t="n"/>
      <c r="C100" s="493" t="n"/>
      <c r="D100" s="493" t="n"/>
      <c r="E100" s="493" t="n"/>
      <c r="F100" s="493" t="n"/>
      <c r="G100" s="493" t="n"/>
      <c r="H100" s="493" t="n"/>
      <c r="I100" s="493" t="n"/>
      <c r="J100" s="493" t="n"/>
      <c r="K100" s="493" t="n"/>
      <c r="L100" s="493" t="n"/>
      <c r="M100" s="493" t="n"/>
      <c r="N100" s="493" t="n"/>
      <c r="O100" s="493" t="n"/>
      <c r="P100" s="493" t="n"/>
      <c r="Q100" s="493" t="n"/>
      <c r="R100" s="493" t="n"/>
      <c r="S100" s="493" t="n"/>
      <c r="T100" s="493" t="n"/>
      <c r="U100" s="493" t="n"/>
      <c r="V100" s="493" t="n"/>
      <c r="W100" s="493" t="n"/>
      <c r="X100" s="493" t="n"/>
      <c r="Y100" s="493" t="n"/>
      <c r="Z100" s="493" t="n"/>
      <c r="AA100" s="493" t="n"/>
    </row>
    <row r="101" ht="15.75" customHeight="1" s="408">
      <c r="A101" s="493" t="n"/>
      <c r="B101" s="493" t="n"/>
      <c r="C101" s="493" t="n"/>
      <c r="D101" s="493" t="n"/>
      <c r="E101" s="493" t="n"/>
      <c r="F101" s="493" t="n"/>
      <c r="G101" s="493" t="n"/>
      <c r="H101" s="493" t="n"/>
      <c r="I101" s="493" t="n"/>
      <c r="J101" s="493" t="n"/>
      <c r="K101" s="493" t="n"/>
      <c r="L101" s="493" t="n"/>
      <c r="M101" s="493" t="n"/>
      <c r="N101" s="493" t="n"/>
      <c r="O101" s="493" t="n"/>
      <c r="P101" s="493" t="n"/>
      <c r="Q101" s="493" t="n"/>
      <c r="R101" s="493" t="n"/>
      <c r="S101" s="493" t="n"/>
      <c r="T101" s="493" t="n"/>
      <c r="U101" s="493" t="n"/>
      <c r="V101" s="493" t="n"/>
      <c r="W101" s="493" t="n"/>
      <c r="X101" s="493" t="n"/>
      <c r="Y101" s="493" t="n"/>
      <c r="Z101" s="493" t="n"/>
      <c r="AA101" s="493" t="n"/>
    </row>
    <row r="102" ht="15.75" customHeight="1" s="408">
      <c r="A102" s="493" t="n"/>
      <c r="B102" s="493" t="n"/>
      <c r="C102" s="493" t="n"/>
      <c r="D102" s="493" t="n"/>
      <c r="E102" s="493" t="n"/>
      <c r="F102" s="493" t="n"/>
      <c r="G102" s="493" t="n"/>
      <c r="H102" s="493" t="n"/>
      <c r="I102" s="493" t="n"/>
      <c r="J102" s="493" t="n"/>
      <c r="K102" s="493" t="n"/>
      <c r="L102" s="493" t="n"/>
      <c r="M102" s="493" t="n"/>
      <c r="N102" s="493" t="n"/>
      <c r="O102" s="493" t="n"/>
      <c r="P102" s="493" t="n"/>
      <c r="Q102" s="493" t="n"/>
      <c r="R102" s="493" t="n"/>
      <c r="S102" s="493" t="n"/>
      <c r="T102" s="493" t="n"/>
      <c r="U102" s="493" t="n"/>
      <c r="V102" s="493" t="n"/>
      <c r="W102" s="493" t="n"/>
      <c r="X102" s="493" t="n"/>
      <c r="Y102" s="493" t="n"/>
      <c r="Z102" s="493" t="n"/>
      <c r="AA102" s="493" t="n"/>
    </row>
    <row r="103" ht="15.75" customHeight="1" s="408">
      <c r="A103" s="493" t="n"/>
      <c r="B103" s="493" t="n"/>
      <c r="C103" s="493" t="n"/>
      <c r="D103" s="493" t="n"/>
      <c r="E103" s="493" t="n"/>
      <c r="F103" s="493" t="n"/>
      <c r="G103" s="493" t="n"/>
      <c r="H103" s="493" t="n"/>
      <c r="I103" s="493" t="n"/>
      <c r="J103" s="493" t="n"/>
      <c r="K103" s="493" t="n"/>
      <c r="L103" s="493" t="n"/>
      <c r="M103" s="493" t="n"/>
      <c r="N103" s="493" t="n"/>
      <c r="O103" s="493" t="n"/>
      <c r="P103" s="493" t="n"/>
      <c r="Q103" s="493" t="n"/>
      <c r="R103" s="493" t="n"/>
      <c r="S103" s="493" t="n"/>
      <c r="T103" s="493" t="n"/>
      <c r="U103" s="493" t="n"/>
      <c r="V103" s="493" t="n"/>
      <c r="W103" s="493" t="n"/>
      <c r="X103" s="493" t="n"/>
      <c r="Y103" s="493" t="n"/>
      <c r="Z103" s="493" t="n"/>
      <c r="AA103" s="493" t="n"/>
    </row>
    <row r="104" ht="15.75" customHeight="1" s="408">
      <c r="A104" s="493" t="n"/>
      <c r="B104" s="493" t="n"/>
      <c r="C104" s="493" t="n"/>
      <c r="D104" s="493" t="n"/>
      <c r="E104" s="493" t="n"/>
      <c r="F104" s="493" t="n"/>
      <c r="G104" s="493" t="n"/>
      <c r="H104" s="493" t="n"/>
      <c r="I104" s="493" t="n"/>
      <c r="J104" s="493" t="n"/>
      <c r="K104" s="493" t="n"/>
      <c r="L104" s="493" t="n"/>
      <c r="M104" s="493" t="n"/>
      <c r="N104" s="493" t="n"/>
      <c r="O104" s="493" t="n"/>
      <c r="P104" s="493" t="n"/>
      <c r="Q104" s="493" t="n"/>
      <c r="R104" s="493" t="n"/>
      <c r="S104" s="493" t="n"/>
      <c r="T104" s="493" t="n"/>
      <c r="U104" s="493" t="n"/>
      <c r="V104" s="493" t="n"/>
      <c r="W104" s="493" t="n"/>
      <c r="X104" s="493" t="n"/>
      <c r="Y104" s="493" t="n"/>
      <c r="Z104" s="493" t="n"/>
      <c r="AA104" s="493" t="n"/>
    </row>
    <row r="105" ht="15.75" customHeight="1" s="408">
      <c r="A105" s="493" t="n"/>
      <c r="B105" s="493" t="n"/>
      <c r="C105" s="493" t="n"/>
      <c r="D105" s="493" t="n"/>
      <c r="E105" s="493" t="n"/>
      <c r="F105" s="493" t="n"/>
      <c r="G105" s="493" t="n"/>
      <c r="H105" s="493" t="n"/>
      <c r="I105" s="493" t="n"/>
      <c r="J105" s="493" t="n"/>
      <c r="K105" s="493" t="n"/>
      <c r="L105" s="493" t="n"/>
      <c r="M105" s="493" t="n"/>
      <c r="N105" s="493" t="n"/>
      <c r="O105" s="493" t="n"/>
      <c r="P105" s="493" t="n"/>
      <c r="Q105" s="493" t="n"/>
      <c r="R105" s="493" t="n"/>
      <c r="S105" s="493" t="n"/>
      <c r="T105" s="493" t="n"/>
      <c r="U105" s="493" t="n"/>
      <c r="V105" s="493" t="n"/>
      <c r="W105" s="493" t="n"/>
      <c r="X105" s="493" t="n"/>
      <c r="Y105" s="493" t="n"/>
      <c r="Z105" s="493" t="n"/>
      <c r="AA105" s="493" t="n"/>
    </row>
    <row r="106" ht="15.75" customHeight="1" s="408">
      <c r="A106" s="493" t="n"/>
      <c r="B106" s="493" t="n"/>
      <c r="C106" s="493" t="n"/>
      <c r="D106" s="493" t="n"/>
      <c r="E106" s="493" t="n"/>
      <c r="F106" s="493" t="n"/>
      <c r="G106" s="493" t="n"/>
      <c r="H106" s="493" t="n"/>
      <c r="I106" s="493" t="n"/>
      <c r="J106" s="493" t="n"/>
      <c r="K106" s="493" t="n"/>
      <c r="L106" s="493" t="n"/>
      <c r="M106" s="493" t="n"/>
      <c r="N106" s="493" t="n"/>
      <c r="O106" s="493" t="n"/>
      <c r="P106" s="493" t="n"/>
      <c r="Q106" s="493" t="n"/>
      <c r="R106" s="493" t="n"/>
      <c r="S106" s="493" t="n"/>
      <c r="T106" s="493" t="n"/>
      <c r="U106" s="493" t="n"/>
      <c r="V106" s="493" t="n"/>
      <c r="W106" s="493" t="n"/>
      <c r="X106" s="493" t="n"/>
      <c r="Y106" s="493" t="n"/>
      <c r="Z106" s="493" t="n"/>
      <c r="AA106" s="493" t="n"/>
    </row>
    <row r="107" ht="15.75" customHeight="1" s="408">
      <c r="A107" s="493" t="n"/>
      <c r="B107" s="493" t="n"/>
      <c r="C107" s="493" t="n"/>
      <c r="D107" s="493" t="n"/>
      <c r="E107" s="493" t="n"/>
      <c r="F107" s="493" t="n"/>
      <c r="G107" s="493" t="n"/>
      <c r="H107" s="493" t="n"/>
      <c r="I107" s="493" t="n"/>
      <c r="J107" s="493" t="n"/>
      <c r="K107" s="493" t="n"/>
      <c r="L107" s="493" t="n"/>
      <c r="M107" s="493" t="n"/>
      <c r="N107" s="493" t="n"/>
      <c r="O107" s="493" t="n"/>
      <c r="P107" s="493" t="n"/>
      <c r="Q107" s="493" t="n"/>
      <c r="R107" s="493" t="n"/>
      <c r="S107" s="493" t="n"/>
      <c r="T107" s="493" t="n"/>
      <c r="U107" s="493" t="n"/>
      <c r="V107" s="493" t="n"/>
      <c r="W107" s="493" t="n"/>
      <c r="X107" s="493" t="n"/>
      <c r="Y107" s="493" t="n"/>
      <c r="Z107" s="493" t="n"/>
      <c r="AA107" s="493" t="n"/>
    </row>
    <row r="108" ht="15.75" customHeight="1" s="408">
      <c r="A108" s="493" t="n"/>
      <c r="B108" s="493" t="n"/>
      <c r="C108" s="493" t="n"/>
      <c r="D108" s="493" t="n"/>
      <c r="E108" s="493" t="n"/>
      <c r="F108" s="493" t="n"/>
      <c r="G108" s="493" t="n"/>
      <c r="H108" s="493" t="n"/>
      <c r="I108" s="493" t="n"/>
      <c r="J108" s="493" t="n"/>
      <c r="K108" s="493" t="n"/>
      <c r="L108" s="493" t="n"/>
      <c r="M108" s="493" t="n"/>
      <c r="N108" s="493" t="n"/>
      <c r="O108" s="493" t="n"/>
      <c r="P108" s="493" t="n"/>
      <c r="Q108" s="493" t="n"/>
      <c r="R108" s="493" t="n"/>
      <c r="S108" s="493" t="n"/>
      <c r="T108" s="493" t="n"/>
      <c r="U108" s="493" t="n"/>
      <c r="V108" s="493" t="n"/>
      <c r="W108" s="493" t="n"/>
      <c r="X108" s="493" t="n"/>
      <c r="Y108" s="493" t="n"/>
      <c r="Z108" s="493" t="n"/>
      <c r="AA108" s="493" t="n"/>
    </row>
    <row r="109" ht="15.75" customHeight="1" s="408">
      <c r="A109" s="493" t="n"/>
      <c r="B109" s="493" t="n"/>
      <c r="C109" s="493" t="n"/>
      <c r="D109" s="493" t="n"/>
      <c r="E109" s="493" t="n"/>
      <c r="F109" s="493" t="n"/>
      <c r="G109" s="493" t="n"/>
      <c r="H109" s="493" t="n"/>
      <c r="I109" s="493" t="n"/>
      <c r="J109" s="493" t="n"/>
      <c r="K109" s="493" t="n"/>
      <c r="L109" s="493" t="n"/>
      <c r="M109" s="493" t="n"/>
      <c r="N109" s="493" t="n"/>
      <c r="O109" s="493" t="n"/>
      <c r="P109" s="493" t="n"/>
      <c r="Q109" s="493" t="n"/>
      <c r="R109" s="493" t="n"/>
      <c r="S109" s="493" t="n"/>
      <c r="T109" s="493" t="n"/>
      <c r="U109" s="493" t="n"/>
      <c r="V109" s="493" t="n"/>
      <c r="W109" s="493" t="n"/>
      <c r="X109" s="493" t="n"/>
      <c r="Y109" s="493" t="n"/>
      <c r="Z109" s="493" t="n"/>
      <c r="AA109" s="493" t="n"/>
    </row>
    <row r="110" ht="15.75" customHeight="1" s="408">
      <c r="A110" s="493" t="n"/>
      <c r="B110" s="493" t="n"/>
      <c r="C110" s="493" t="n"/>
      <c r="D110" s="493" t="n"/>
      <c r="E110" s="493" t="n"/>
      <c r="F110" s="493" t="n"/>
      <c r="G110" s="493" t="n"/>
      <c r="H110" s="493" t="n"/>
      <c r="I110" s="493" t="n"/>
      <c r="J110" s="493" t="n"/>
      <c r="K110" s="493" t="n"/>
      <c r="L110" s="493" t="n"/>
      <c r="M110" s="493" t="n"/>
      <c r="N110" s="493" t="n"/>
      <c r="O110" s="493" t="n"/>
      <c r="P110" s="493" t="n"/>
      <c r="Q110" s="493" t="n"/>
      <c r="R110" s="493" t="n"/>
      <c r="S110" s="493" t="n"/>
      <c r="T110" s="493" t="n"/>
      <c r="U110" s="493" t="n"/>
      <c r="V110" s="493" t="n"/>
      <c r="W110" s="493" t="n"/>
      <c r="X110" s="493" t="n"/>
      <c r="Y110" s="493" t="n"/>
      <c r="Z110" s="493" t="n"/>
      <c r="AA110" s="493" t="n"/>
    </row>
    <row r="111" ht="15.75" customHeight="1" s="408">
      <c r="A111" s="493" t="n"/>
      <c r="B111" s="493" t="n"/>
      <c r="C111" s="493" t="n"/>
      <c r="D111" s="493" t="n"/>
      <c r="E111" s="493" t="n"/>
      <c r="F111" s="493" t="n"/>
      <c r="G111" s="493" t="n"/>
      <c r="H111" s="493" t="n"/>
      <c r="I111" s="493" t="n"/>
      <c r="J111" s="493" t="n"/>
      <c r="K111" s="493" t="n"/>
      <c r="L111" s="493" t="n"/>
      <c r="M111" s="493" t="n"/>
      <c r="N111" s="493" t="n"/>
      <c r="O111" s="493" t="n"/>
      <c r="P111" s="493" t="n"/>
      <c r="Q111" s="493" t="n"/>
      <c r="R111" s="493" t="n"/>
      <c r="S111" s="493" t="n"/>
      <c r="T111" s="493" t="n"/>
      <c r="U111" s="493" t="n"/>
      <c r="V111" s="493" t="n"/>
      <c r="W111" s="493" t="n"/>
      <c r="X111" s="493" t="n"/>
      <c r="Y111" s="493" t="n"/>
      <c r="Z111" s="493" t="n"/>
      <c r="AA111" s="493" t="n"/>
    </row>
    <row r="112" ht="15.75" customHeight="1" s="408">
      <c r="A112" s="493" t="n"/>
      <c r="B112" s="493" t="n"/>
      <c r="C112" s="493" t="n"/>
      <c r="D112" s="493" t="n"/>
      <c r="E112" s="493" t="n"/>
      <c r="F112" s="493" t="n"/>
      <c r="G112" s="493" t="n"/>
      <c r="H112" s="493" t="n"/>
      <c r="I112" s="493" t="n"/>
      <c r="J112" s="493" t="n"/>
      <c r="K112" s="493" t="n"/>
      <c r="L112" s="493" t="n"/>
      <c r="M112" s="493" t="n"/>
      <c r="N112" s="493" t="n"/>
      <c r="O112" s="493" t="n"/>
      <c r="P112" s="493" t="n"/>
      <c r="Q112" s="493" t="n"/>
      <c r="R112" s="493" t="n"/>
      <c r="S112" s="493" t="n"/>
      <c r="T112" s="493" t="n"/>
      <c r="U112" s="493" t="n"/>
      <c r="V112" s="493" t="n"/>
      <c r="W112" s="493" t="n"/>
      <c r="X112" s="493" t="n"/>
      <c r="Y112" s="493" t="n"/>
      <c r="Z112" s="493" t="n"/>
      <c r="AA112" s="493" t="n"/>
    </row>
    <row r="113" ht="15.75" customHeight="1" s="408">
      <c r="A113" s="493" t="n"/>
      <c r="B113" s="493" t="n"/>
      <c r="C113" s="493" t="n"/>
      <c r="D113" s="493" t="n"/>
      <c r="E113" s="493" t="n"/>
      <c r="F113" s="493" t="n"/>
      <c r="G113" s="493" t="n"/>
      <c r="H113" s="493" t="n"/>
      <c r="I113" s="493" t="n"/>
      <c r="J113" s="493" t="n"/>
      <c r="K113" s="493" t="n"/>
      <c r="L113" s="493" t="n"/>
      <c r="M113" s="493" t="n"/>
      <c r="N113" s="493" t="n"/>
      <c r="O113" s="493" t="n"/>
      <c r="P113" s="493" t="n"/>
      <c r="Q113" s="493" t="n"/>
      <c r="R113" s="493" t="n"/>
      <c r="S113" s="493" t="n"/>
      <c r="T113" s="493" t="n"/>
      <c r="U113" s="493" t="n"/>
      <c r="V113" s="493" t="n"/>
      <c r="W113" s="493" t="n"/>
      <c r="X113" s="493" t="n"/>
      <c r="Y113" s="493" t="n"/>
      <c r="Z113" s="493" t="n"/>
      <c r="AA113" s="493" t="n"/>
    </row>
    <row r="114" ht="15.75" customHeight="1" s="408">
      <c r="A114" s="493" t="n"/>
      <c r="B114" s="493" t="n"/>
      <c r="C114" s="493" t="n"/>
      <c r="D114" s="493" t="n"/>
      <c r="E114" s="493" t="n"/>
      <c r="F114" s="493" t="n"/>
      <c r="G114" s="493" t="n"/>
      <c r="H114" s="493" t="n"/>
      <c r="I114" s="493" t="n"/>
      <c r="J114" s="493" t="n"/>
      <c r="K114" s="493" t="n"/>
      <c r="L114" s="493" t="n"/>
      <c r="M114" s="493" t="n"/>
      <c r="N114" s="493" t="n"/>
      <c r="O114" s="493" t="n"/>
      <c r="P114" s="493" t="n"/>
      <c r="Q114" s="493" t="n"/>
      <c r="R114" s="493" t="n"/>
      <c r="S114" s="493" t="n"/>
      <c r="T114" s="493" t="n"/>
      <c r="U114" s="493" t="n"/>
      <c r="V114" s="493" t="n"/>
      <c r="W114" s="493" t="n"/>
      <c r="X114" s="493" t="n"/>
      <c r="Y114" s="493" t="n"/>
      <c r="Z114" s="493" t="n"/>
      <c r="AA114" s="493" t="n"/>
    </row>
    <row r="115" ht="15.75" customHeight="1" s="408">
      <c r="A115" s="493" t="n"/>
      <c r="B115" s="493" t="n"/>
      <c r="C115" s="493" t="n"/>
      <c r="D115" s="493" t="n"/>
      <c r="E115" s="493" t="n"/>
      <c r="F115" s="493" t="n"/>
      <c r="G115" s="493" t="n"/>
      <c r="H115" s="493" t="n"/>
      <c r="I115" s="493" t="n"/>
      <c r="J115" s="493" t="n"/>
      <c r="K115" s="493" t="n"/>
      <c r="L115" s="493" t="n"/>
      <c r="M115" s="493" t="n"/>
      <c r="N115" s="493" t="n"/>
      <c r="O115" s="493" t="n"/>
      <c r="P115" s="493" t="n"/>
      <c r="Q115" s="493" t="n"/>
      <c r="R115" s="493" t="n"/>
      <c r="S115" s="493" t="n"/>
      <c r="T115" s="493" t="n"/>
      <c r="U115" s="493" t="n"/>
      <c r="V115" s="493" t="n"/>
      <c r="W115" s="493" t="n"/>
      <c r="X115" s="493" t="n"/>
      <c r="Y115" s="493" t="n"/>
      <c r="Z115" s="493" t="n"/>
      <c r="AA115" s="493" t="n"/>
    </row>
    <row r="116" ht="15.75" customHeight="1" s="408">
      <c r="A116" s="493" t="n"/>
      <c r="B116" s="493" t="n"/>
      <c r="C116" s="493" t="n"/>
      <c r="D116" s="493" t="n"/>
      <c r="E116" s="493" t="n"/>
      <c r="F116" s="493" t="n"/>
      <c r="G116" s="493" t="n"/>
      <c r="H116" s="493" t="n"/>
      <c r="I116" s="493" t="n"/>
      <c r="J116" s="493" t="n"/>
      <c r="K116" s="493" t="n"/>
      <c r="L116" s="493" t="n"/>
      <c r="M116" s="493" t="n"/>
      <c r="N116" s="493" t="n"/>
      <c r="O116" s="493" t="n"/>
      <c r="P116" s="493" t="n"/>
      <c r="Q116" s="493" t="n"/>
      <c r="R116" s="493" t="n"/>
      <c r="S116" s="493" t="n"/>
      <c r="T116" s="493" t="n"/>
      <c r="U116" s="493" t="n"/>
      <c r="V116" s="493" t="n"/>
      <c r="W116" s="493" t="n"/>
      <c r="X116" s="493" t="n"/>
      <c r="Y116" s="493" t="n"/>
      <c r="Z116" s="493" t="n"/>
      <c r="AA116" s="493" t="n"/>
    </row>
    <row r="117" ht="15.75" customHeight="1" s="408">
      <c r="A117" s="493" t="n"/>
      <c r="B117" s="493" t="n"/>
      <c r="C117" s="493" t="n"/>
      <c r="D117" s="493" t="n"/>
      <c r="E117" s="493" t="n"/>
      <c r="F117" s="493" t="n"/>
      <c r="G117" s="493" t="n"/>
      <c r="H117" s="493" t="n"/>
      <c r="I117" s="493" t="n"/>
      <c r="J117" s="493" t="n"/>
      <c r="K117" s="493" t="n"/>
      <c r="L117" s="493" t="n"/>
      <c r="M117" s="493" t="n"/>
      <c r="N117" s="493" t="n"/>
      <c r="O117" s="493" t="n"/>
      <c r="P117" s="493" t="n"/>
      <c r="Q117" s="493" t="n"/>
      <c r="R117" s="493" t="n"/>
      <c r="S117" s="493" t="n"/>
      <c r="T117" s="493" t="n"/>
      <c r="U117" s="493" t="n"/>
      <c r="V117" s="493" t="n"/>
      <c r="W117" s="493" t="n"/>
      <c r="X117" s="493" t="n"/>
      <c r="Y117" s="493" t="n"/>
      <c r="Z117" s="493" t="n"/>
      <c r="AA117" s="493" t="n"/>
    </row>
    <row r="118" ht="15.75" customHeight="1" s="408">
      <c r="A118" s="493" t="n"/>
      <c r="B118" s="493" t="n"/>
      <c r="C118" s="493" t="n"/>
      <c r="D118" s="493" t="n"/>
      <c r="E118" s="493" t="n"/>
      <c r="F118" s="493" t="n"/>
      <c r="G118" s="493" t="n"/>
      <c r="H118" s="493" t="n"/>
      <c r="I118" s="493" t="n"/>
      <c r="J118" s="493" t="n"/>
      <c r="K118" s="493" t="n"/>
      <c r="L118" s="493" t="n"/>
      <c r="M118" s="493" t="n"/>
      <c r="N118" s="493" t="n"/>
      <c r="O118" s="493" t="n"/>
      <c r="P118" s="493" t="n"/>
      <c r="Q118" s="493" t="n"/>
      <c r="R118" s="493" t="n"/>
      <c r="S118" s="493" t="n"/>
      <c r="T118" s="493" t="n"/>
      <c r="U118" s="493" t="n"/>
      <c r="V118" s="493" t="n"/>
      <c r="W118" s="493" t="n"/>
      <c r="X118" s="493" t="n"/>
      <c r="Y118" s="493" t="n"/>
      <c r="Z118" s="493" t="n"/>
      <c r="AA118" s="493" t="n"/>
    </row>
    <row r="119" ht="15.75" customHeight="1" s="408">
      <c r="A119" s="493" t="n"/>
      <c r="B119" s="493" t="n"/>
      <c r="C119" s="493" t="n"/>
      <c r="D119" s="493" t="n"/>
      <c r="E119" s="493" t="n"/>
      <c r="F119" s="493" t="n"/>
      <c r="G119" s="493" t="n"/>
      <c r="H119" s="493" t="n"/>
      <c r="I119" s="493" t="n"/>
      <c r="J119" s="493" t="n"/>
      <c r="K119" s="493" t="n"/>
      <c r="L119" s="493" t="n"/>
      <c r="M119" s="493" t="n"/>
      <c r="N119" s="493" t="n"/>
      <c r="O119" s="493" t="n"/>
      <c r="P119" s="493" t="n"/>
      <c r="Q119" s="493" t="n"/>
      <c r="R119" s="493" t="n"/>
      <c r="S119" s="493" t="n"/>
      <c r="T119" s="493" t="n"/>
      <c r="U119" s="493" t="n"/>
      <c r="V119" s="493" t="n"/>
      <c r="W119" s="493" t="n"/>
      <c r="X119" s="493" t="n"/>
      <c r="Y119" s="493" t="n"/>
      <c r="Z119" s="493" t="n"/>
      <c r="AA119" s="493" t="n"/>
    </row>
    <row r="120" ht="15.75" customHeight="1" s="408">
      <c r="A120" s="493" t="n"/>
      <c r="B120" s="493" t="n"/>
      <c r="C120" s="493" t="n"/>
      <c r="D120" s="493" t="n"/>
      <c r="E120" s="493" t="n"/>
      <c r="F120" s="493" t="n"/>
      <c r="G120" s="493" t="n"/>
      <c r="H120" s="493" t="n"/>
      <c r="I120" s="493" t="n"/>
      <c r="J120" s="493" t="n"/>
      <c r="K120" s="493" t="n"/>
      <c r="L120" s="493" t="n"/>
      <c r="M120" s="493" t="n"/>
      <c r="N120" s="493" t="n"/>
      <c r="O120" s="493" t="n"/>
      <c r="P120" s="493" t="n"/>
      <c r="Q120" s="493" t="n"/>
      <c r="R120" s="493" t="n"/>
      <c r="S120" s="493" t="n"/>
      <c r="T120" s="493" t="n"/>
      <c r="U120" s="493" t="n"/>
      <c r="V120" s="493" t="n"/>
      <c r="W120" s="493" t="n"/>
      <c r="X120" s="493" t="n"/>
      <c r="Y120" s="493" t="n"/>
      <c r="Z120" s="493" t="n"/>
      <c r="AA120" s="493" t="n"/>
    </row>
    <row r="121" ht="15.75" customHeight="1" s="408">
      <c r="A121" s="493" t="n"/>
      <c r="B121" s="493" t="n"/>
      <c r="C121" s="493" t="n"/>
      <c r="D121" s="493" t="n"/>
      <c r="E121" s="493" t="n"/>
      <c r="F121" s="493" t="n"/>
      <c r="G121" s="493" t="n"/>
      <c r="H121" s="493" t="n"/>
      <c r="I121" s="493" t="n"/>
      <c r="J121" s="493" t="n"/>
      <c r="K121" s="493" t="n"/>
      <c r="L121" s="493" t="n"/>
      <c r="M121" s="493" t="n"/>
      <c r="N121" s="493" t="n"/>
      <c r="O121" s="493" t="n"/>
      <c r="P121" s="493" t="n"/>
      <c r="Q121" s="493" t="n"/>
      <c r="R121" s="493" t="n"/>
      <c r="S121" s="493" t="n"/>
      <c r="T121" s="493" t="n"/>
      <c r="U121" s="493" t="n"/>
      <c r="V121" s="493" t="n"/>
      <c r="W121" s="493" t="n"/>
      <c r="X121" s="493" t="n"/>
      <c r="Y121" s="493" t="n"/>
      <c r="Z121" s="493" t="n"/>
      <c r="AA121" s="493" t="n"/>
    </row>
    <row r="122" ht="15.75" customHeight="1" s="408">
      <c r="A122" s="493" t="n"/>
      <c r="B122" s="493" t="n"/>
      <c r="C122" s="493" t="n"/>
      <c r="D122" s="493" t="n"/>
      <c r="E122" s="493" t="n"/>
      <c r="F122" s="493" t="n"/>
      <c r="G122" s="493" t="n"/>
      <c r="H122" s="493" t="n"/>
      <c r="I122" s="493" t="n"/>
      <c r="J122" s="493" t="n"/>
      <c r="K122" s="493" t="n"/>
      <c r="L122" s="493" t="n"/>
      <c r="M122" s="493" t="n"/>
      <c r="N122" s="493" t="n"/>
      <c r="O122" s="493" t="n"/>
      <c r="P122" s="493" t="n"/>
      <c r="Q122" s="493" t="n"/>
      <c r="R122" s="493" t="n"/>
      <c r="S122" s="493" t="n"/>
      <c r="T122" s="493" t="n"/>
      <c r="U122" s="493" t="n"/>
      <c r="V122" s="493" t="n"/>
      <c r="W122" s="493" t="n"/>
      <c r="X122" s="493" t="n"/>
      <c r="Y122" s="493" t="n"/>
      <c r="Z122" s="493" t="n"/>
      <c r="AA122" s="493" t="n"/>
    </row>
    <row r="123" ht="15.75" customHeight="1" s="408">
      <c r="A123" s="493" t="n"/>
      <c r="B123" s="493" t="n"/>
      <c r="C123" s="493" t="n"/>
      <c r="D123" s="493" t="n"/>
      <c r="E123" s="493" t="n"/>
      <c r="F123" s="493" t="n"/>
      <c r="G123" s="493" t="n"/>
      <c r="H123" s="493" t="n"/>
      <c r="I123" s="493" t="n"/>
      <c r="J123" s="493" t="n"/>
      <c r="K123" s="493" t="n"/>
      <c r="L123" s="493" t="n"/>
      <c r="M123" s="493" t="n"/>
      <c r="N123" s="493" t="n"/>
      <c r="O123" s="493" t="n"/>
      <c r="P123" s="493" t="n"/>
      <c r="Q123" s="493" t="n"/>
      <c r="R123" s="493" t="n"/>
      <c r="S123" s="493" t="n"/>
      <c r="T123" s="493" t="n"/>
      <c r="U123" s="493" t="n"/>
      <c r="V123" s="493" t="n"/>
      <c r="W123" s="493" t="n"/>
      <c r="X123" s="493" t="n"/>
      <c r="Y123" s="493" t="n"/>
      <c r="Z123" s="493" t="n"/>
      <c r="AA123" s="493" t="n"/>
    </row>
    <row r="124" ht="15.75" customHeight="1" s="408">
      <c r="A124" s="493" t="n"/>
      <c r="B124" s="493" t="n"/>
      <c r="C124" s="493" t="n"/>
      <c r="D124" s="493" t="n"/>
      <c r="E124" s="493" t="n"/>
      <c r="F124" s="493" t="n"/>
      <c r="G124" s="493" t="n"/>
      <c r="H124" s="493" t="n"/>
      <c r="I124" s="493" t="n"/>
      <c r="J124" s="493" t="n"/>
      <c r="K124" s="493" t="n"/>
      <c r="L124" s="493" t="n"/>
      <c r="M124" s="493" t="n"/>
      <c r="N124" s="493" t="n"/>
      <c r="O124" s="493" t="n"/>
      <c r="P124" s="493" t="n"/>
      <c r="Q124" s="493" t="n"/>
      <c r="R124" s="493" t="n"/>
      <c r="S124" s="493" t="n"/>
      <c r="T124" s="493" t="n"/>
      <c r="U124" s="493" t="n"/>
      <c r="V124" s="493" t="n"/>
      <c r="W124" s="493" t="n"/>
      <c r="X124" s="493" t="n"/>
      <c r="Y124" s="493" t="n"/>
      <c r="Z124" s="493" t="n"/>
      <c r="AA124" s="493" t="n"/>
    </row>
    <row r="125" ht="15.75" customHeight="1" s="408">
      <c r="A125" s="493" t="n"/>
      <c r="B125" s="493" t="n"/>
      <c r="C125" s="493" t="n"/>
      <c r="D125" s="493" t="n"/>
      <c r="E125" s="493" t="n"/>
      <c r="F125" s="493" t="n"/>
      <c r="G125" s="493" t="n"/>
      <c r="H125" s="493" t="n"/>
      <c r="I125" s="493" t="n"/>
      <c r="J125" s="493" t="n"/>
      <c r="K125" s="493" t="n"/>
      <c r="L125" s="493" t="n"/>
      <c r="M125" s="493" t="n"/>
      <c r="N125" s="493" t="n"/>
      <c r="O125" s="493" t="n"/>
      <c r="P125" s="493" t="n"/>
      <c r="Q125" s="493" t="n"/>
      <c r="R125" s="493" t="n"/>
      <c r="S125" s="493" t="n"/>
      <c r="T125" s="493" t="n"/>
      <c r="U125" s="493" t="n"/>
      <c r="V125" s="493" t="n"/>
      <c r="W125" s="493" t="n"/>
      <c r="X125" s="493" t="n"/>
      <c r="Y125" s="493" t="n"/>
      <c r="Z125" s="493" t="n"/>
      <c r="AA125" s="493" t="n"/>
    </row>
    <row r="126" ht="15.75" customHeight="1" s="408">
      <c r="A126" s="493" t="n"/>
      <c r="B126" s="493" t="n"/>
      <c r="C126" s="493" t="n"/>
      <c r="D126" s="493" t="n"/>
      <c r="E126" s="493" t="n"/>
      <c r="F126" s="493" t="n"/>
      <c r="G126" s="493" t="n"/>
      <c r="H126" s="493" t="n"/>
      <c r="I126" s="493" t="n"/>
      <c r="J126" s="493" t="n"/>
      <c r="K126" s="493" t="n"/>
      <c r="L126" s="493" t="n"/>
      <c r="M126" s="493" t="n"/>
      <c r="N126" s="493" t="n"/>
      <c r="O126" s="493" t="n"/>
      <c r="P126" s="493" t="n"/>
      <c r="Q126" s="493" t="n"/>
      <c r="R126" s="493" t="n"/>
      <c r="S126" s="493" t="n"/>
      <c r="T126" s="493" t="n"/>
      <c r="U126" s="493" t="n"/>
      <c r="V126" s="493" t="n"/>
      <c r="W126" s="493" t="n"/>
      <c r="X126" s="493" t="n"/>
      <c r="Y126" s="493" t="n"/>
      <c r="Z126" s="493" t="n"/>
      <c r="AA126" s="493" t="n"/>
    </row>
    <row r="127" ht="15.75" customHeight="1" s="408">
      <c r="A127" s="493" t="n"/>
      <c r="B127" s="493" t="n"/>
      <c r="C127" s="493" t="n"/>
      <c r="D127" s="493" t="n"/>
      <c r="E127" s="493" t="n"/>
      <c r="F127" s="493" t="n"/>
      <c r="G127" s="493" t="n"/>
      <c r="H127" s="493" t="n"/>
      <c r="I127" s="493" t="n"/>
      <c r="J127" s="493" t="n"/>
      <c r="K127" s="493" t="n"/>
      <c r="L127" s="493" t="n"/>
      <c r="M127" s="493" t="n"/>
      <c r="N127" s="493" t="n"/>
      <c r="O127" s="493" t="n"/>
      <c r="P127" s="493" t="n"/>
      <c r="Q127" s="493" t="n"/>
      <c r="R127" s="493" t="n"/>
      <c r="S127" s="493" t="n"/>
      <c r="T127" s="493" t="n"/>
      <c r="U127" s="493" t="n"/>
      <c r="V127" s="493" t="n"/>
      <c r="W127" s="493" t="n"/>
      <c r="X127" s="493" t="n"/>
      <c r="Y127" s="493" t="n"/>
      <c r="Z127" s="493" t="n"/>
      <c r="AA127" s="493" t="n"/>
    </row>
    <row r="128" ht="15.75" customHeight="1" s="408">
      <c r="A128" s="493" t="n"/>
      <c r="B128" s="493" t="n"/>
      <c r="C128" s="493" t="n"/>
      <c r="D128" s="493" t="n"/>
      <c r="E128" s="493" t="n"/>
      <c r="F128" s="493" t="n"/>
      <c r="G128" s="493" t="n"/>
      <c r="H128" s="493" t="n"/>
      <c r="I128" s="493" t="n"/>
      <c r="J128" s="493" t="n"/>
      <c r="K128" s="493" t="n"/>
      <c r="L128" s="493" t="n"/>
      <c r="M128" s="493" t="n"/>
      <c r="N128" s="493" t="n"/>
      <c r="O128" s="493" t="n"/>
      <c r="P128" s="493" t="n"/>
      <c r="Q128" s="493" t="n"/>
      <c r="R128" s="493" t="n"/>
      <c r="S128" s="493" t="n"/>
      <c r="T128" s="493" t="n"/>
      <c r="U128" s="493" t="n"/>
      <c r="V128" s="493" t="n"/>
      <c r="W128" s="493" t="n"/>
      <c r="X128" s="493" t="n"/>
      <c r="Y128" s="493" t="n"/>
      <c r="Z128" s="493" t="n"/>
      <c r="AA128" s="493" t="n"/>
    </row>
    <row r="129" ht="15.75" customHeight="1" s="408">
      <c r="A129" s="493" t="n"/>
      <c r="B129" s="493" t="n"/>
      <c r="C129" s="493" t="n"/>
      <c r="D129" s="493" t="n"/>
      <c r="E129" s="493" t="n"/>
      <c r="F129" s="493" t="n"/>
      <c r="G129" s="493" t="n"/>
      <c r="H129" s="493" t="n"/>
      <c r="I129" s="493" t="n"/>
      <c r="J129" s="493" t="n"/>
      <c r="K129" s="493" t="n"/>
      <c r="L129" s="493" t="n"/>
      <c r="M129" s="493" t="n"/>
      <c r="N129" s="493" t="n"/>
      <c r="O129" s="493" t="n"/>
      <c r="P129" s="493" t="n"/>
      <c r="Q129" s="493" t="n"/>
      <c r="R129" s="493" t="n"/>
      <c r="S129" s="493" t="n"/>
      <c r="T129" s="493" t="n"/>
      <c r="U129" s="493" t="n"/>
      <c r="V129" s="493" t="n"/>
      <c r="W129" s="493" t="n"/>
      <c r="X129" s="493" t="n"/>
      <c r="Y129" s="493" t="n"/>
      <c r="Z129" s="493" t="n"/>
      <c r="AA129" s="493" t="n"/>
    </row>
    <row r="130" ht="15.75" customHeight="1" s="408">
      <c r="A130" s="493" t="n"/>
      <c r="B130" s="493" t="n"/>
      <c r="C130" s="493" t="n"/>
      <c r="D130" s="493" t="n"/>
      <c r="E130" s="493" t="n"/>
      <c r="F130" s="493" t="n"/>
      <c r="G130" s="493" t="n"/>
      <c r="H130" s="493" t="n"/>
      <c r="I130" s="493" t="n"/>
      <c r="J130" s="493" t="n"/>
      <c r="K130" s="493" t="n"/>
      <c r="L130" s="493" t="n"/>
      <c r="M130" s="493" t="n"/>
      <c r="N130" s="493" t="n"/>
      <c r="O130" s="493" t="n"/>
      <c r="P130" s="493" t="n"/>
      <c r="Q130" s="493" t="n"/>
      <c r="R130" s="493" t="n"/>
      <c r="S130" s="493" t="n"/>
      <c r="T130" s="493" t="n"/>
      <c r="U130" s="493" t="n"/>
      <c r="V130" s="493" t="n"/>
      <c r="W130" s="493" t="n"/>
      <c r="X130" s="493" t="n"/>
      <c r="Y130" s="493" t="n"/>
      <c r="Z130" s="493" t="n"/>
      <c r="AA130" s="493" t="n"/>
    </row>
    <row r="131" ht="15.75" customHeight="1" s="408">
      <c r="A131" s="493" t="n"/>
      <c r="B131" s="493" t="n"/>
      <c r="C131" s="493" t="n"/>
      <c r="D131" s="493" t="n"/>
      <c r="E131" s="493" t="n"/>
      <c r="F131" s="493" t="n"/>
      <c r="G131" s="493" t="n"/>
      <c r="H131" s="493" t="n"/>
      <c r="I131" s="493" t="n"/>
      <c r="J131" s="493" t="n"/>
      <c r="K131" s="493" t="n"/>
      <c r="L131" s="493" t="n"/>
      <c r="M131" s="493" t="n"/>
      <c r="N131" s="493" t="n"/>
      <c r="O131" s="493" t="n"/>
      <c r="P131" s="493" t="n"/>
      <c r="Q131" s="493" t="n"/>
      <c r="R131" s="493" t="n"/>
      <c r="S131" s="493" t="n"/>
      <c r="T131" s="493" t="n"/>
      <c r="U131" s="493" t="n"/>
      <c r="V131" s="493" t="n"/>
      <c r="W131" s="493" t="n"/>
      <c r="X131" s="493" t="n"/>
      <c r="Y131" s="493" t="n"/>
      <c r="Z131" s="493" t="n"/>
      <c r="AA131" s="493" t="n"/>
    </row>
    <row r="132" ht="15.75" customHeight="1" s="408">
      <c r="A132" s="493" t="n"/>
      <c r="B132" s="493" t="n"/>
      <c r="C132" s="493" t="n"/>
      <c r="D132" s="493" t="n"/>
      <c r="E132" s="493" t="n"/>
      <c r="F132" s="493" t="n"/>
      <c r="G132" s="493" t="n"/>
      <c r="H132" s="493" t="n"/>
      <c r="I132" s="493" t="n"/>
      <c r="J132" s="493" t="n"/>
      <c r="K132" s="493" t="n"/>
      <c r="L132" s="493" t="n"/>
      <c r="M132" s="493" t="n"/>
      <c r="N132" s="493" t="n"/>
      <c r="O132" s="493" t="n"/>
      <c r="P132" s="493" t="n"/>
      <c r="Q132" s="493" t="n"/>
      <c r="R132" s="493" t="n"/>
      <c r="S132" s="493" t="n"/>
      <c r="T132" s="493" t="n"/>
      <c r="U132" s="493" t="n"/>
      <c r="V132" s="493" t="n"/>
      <c r="W132" s="493" t="n"/>
      <c r="X132" s="493" t="n"/>
      <c r="Y132" s="493" t="n"/>
      <c r="Z132" s="493" t="n"/>
      <c r="AA132" s="493" t="n"/>
    </row>
    <row r="133" ht="15.75" customHeight="1" s="408">
      <c r="A133" s="493" t="n"/>
      <c r="B133" s="493" t="n"/>
      <c r="C133" s="493" t="n"/>
      <c r="D133" s="493" t="n"/>
      <c r="E133" s="493" t="n"/>
      <c r="F133" s="493" t="n"/>
      <c r="G133" s="493" t="n"/>
      <c r="H133" s="493" t="n"/>
      <c r="I133" s="493" t="n"/>
      <c r="J133" s="493" t="n"/>
      <c r="K133" s="493" t="n"/>
      <c r="L133" s="493" t="n"/>
      <c r="M133" s="493" t="n"/>
      <c r="N133" s="493" t="n"/>
      <c r="O133" s="493" t="n"/>
      <c r="P133" s="493" t="n"/>
      <c r="Q133" s="493" t="n"/>
      <c r="R133" s="493" t="n"/>
      <c r="S133" s="493" t="n"/>
      <c r="T133" s="493" t="n"/>
      <c r="U133" s="493" t="n"/>
      <c r="V133" s="493" t="n"/>
      <c r="W133" s="493" t="n"/>
      <c r="X133" s="493" t="n"/>
      <c r="Y133" s="493" t="n"/>
      <c r="Z133" s="493" t="n"/>
      <c r="AA133" s="493" t="n"/>
    </row>
    <row r="134" ht="15.75" customHeight="1" s="408">
      <c r="A134" s="493" t="n"/>
      <c r="B134" s="493" t="n"/>
      <c r="C134" s="493" t="n"/>
      <c r="D134" s="493" t="n"/>
      <c r="E134" s="493" t="n"/>
      <c r="F134" s="493" t="n"/>
      <c r="G134" s="493" t="n"/>
      <c r="H134" s="493" t="n"/>
      <c r="I134" s="493" t="n"/>
      <c r="J134" s="493" t="n"/>
      <c r="K134" s="493" t="n"/>
      <c r="L134" s="493" t="n"/>
      <c r="M134" s="493" t="n"/>
      <c r="N134" s="493" t="n"/>
      <c r="O134" s="493" t="n"/>
      <c r="P134" s="493" t="n"/>
      <c r="Q134" s="493" t="n"/>
      <c r="R134" s="493" t="n"/>
      <c r="S134" s="493" t="n"/>
      <c r="T134" s="493" t="n"/>
      <c r="U134" s="493" t="n"/>
      <c r="V134" s="493" t="n"/>
      <c r="W134" s="493" t="n"/>
      <c r="X134" s="493" t="n"/>
      <c r="Y134" s="493" t="n"/>
      <c r="Z134" s="493" t="n"/>
      <c r="AA134" s="493" t="n"/>
    </row>
    <row r="135" ht="15.75" customHeight="1" s="408">
      <c r="A135" s="493" t="n"/>
      <c r="B135" s="493" t="n"/>
      <c r="C135" s="493" t="n"/>
      <c r="D135" s="493" t="n"/>
      <c r="E135" s="493" t="n"/>
      <c r="F135" s="493" t="n"/>
      <c r="G135" s="493" t="n"/>
      <c r="H135" s="493" t="n"/>
      <c r="I135" s="493" t="n"/>
      <c r="J135" s="493" t="n"/>
      <c r="K135" s="493" t="n"/>
      <c r="L135" s="493" t="n"/>
      <c r="M135" s="493" t="n"/>
      <c r="N135" s="493" t="n"/>
      <c r="O135" s="493" t="n"/>
      <c r="P135" s="493" t="n"/>
      <c r="Q135" s="493" t="n"/>
      <c r="R135" s="493" t="n"/>
      <c r="S135" s="493" t="n"/>
      <c r="T135" s="493" t="n"/>
      <c r="U135" s="493" t="n"/>
      <c r="V135" s="493" t="n"/>
      <c r="W135" s="493" t="n"/>
      <c r="X135" s="493" t="n"/>
      <c r="Y135" s="493" t="n"/>
      <c r="Z135" s="493" t="n"/>
      <c r="AA135" s="493" t="n"/>
    </row>
    <row r="136" ht="15.75" customHeight="1" s="408">
      <c r="A136" s="493" t="n"/>
      <c r="B136" s="493" t="n"/>
      <c r="C136" s="493" t="n"/>
      <c r="D136" s="493" t="n"/>
      <c r="E136" s="493" t="n"/>
      <c r="F136" s="493" t="n"/>
      <c r="G136" s="493" t="n"/>
      <c r="H136" s="493" t="n"/>
      <c r="I136" s="493" t="n"/>
      <c r="J136" s="493" t="n"/>
      <c r="K136" s="493" t="n"/>
      <c r="L136" s="493" t="n"/>
      <c r="M136" s="493" t="n"/>
      <c r="N136" s="493" t="n"/>
      <c r="O136" s="493" t="n"/>
      <c r="P136" s="493" t="n"/>
      <c r="Q136" s="493" t="n"/>
      <c r="R136" s="493" t="n"/>
      <c r="S136" s="493" t="n"/>
      <c r="T136" s="493" t="n"/>
      <c r="U136" s="493" t="n"/>
      <c r="V136" s="493" t="n"/>
      <c r="W136" s="493" t="n"/>
      <c r="X136" s="493" t="n"/>
      <c r="Y136" s="493" t="n"/>
      <c r="Z136" s="493" t="n"/>
      <c r="AA136" s="493" t="n"/>
    </row>
    <row r="137" ht="15.75" customHeight="1" s="408">
      <c r="A137" s="493" t="n"/>
      <c r="B137" s="493" t="n"/>
      <c r="C137" s="493" t="n"/>
      <c r="D137" s="493" t="n"/>
      <c r="E137" s="493" t="n"/>
      <c r="F137" s="493" t="n"/>
      <c r="G137" s="493" t="n"/>
      <c r="H137" s="493" t="n"/>
      <c r="I137" s="493" t="n"/>
      <c r="J137" s="493" t="n"/>
      <c r="K137" s="493" t="n"/>
      <c r="L137" s="493" t="n"/>
      <c r="M137" s="493" t="n"/>
      <c r="N137" s="493" t="n"/>
      <c r="O137" s="493" t="n"/>
      <c r="P137" s="493" t="n"/>
      <c r="Q137" s="493" t="n"/>
      <c r="R137" s="493" t="n"/>
      <c r="S137" s="493" t="n"/>
      <c r="T137" s="493" t="n"/>
      <c r="U137" s="493" t="n"/>
      <c r="V137" s="493" t="n"/>
      <c r="W137" s="493" t="n"/>
      <c r="X137" s="493" t="n"/>
      <c r="Y137" s="493" t="n"/>
      <c r="Z137" s="493" t="n"/>
      <c r="AA137" s="493" t="n"/>
    </row>
    <row r="138" ht="15.75" customHeight="1" s="408">
      <c r="A138" s="493" t="n"/>
      <c r="B138" s="493" t="n"/>
      <c r="C138" s="493" t="n"/>
      <c r="D138" s="493" t="n"/>
      <c r="E138" s="493" t="n"/>
      <c r="F138" s="493" t="n"/>
      <c r="G138" s="493" t="n"/>
      <c r="H138" s="493" t="n"/>
      <c r="I138" s="493" t="n"/>
      <c r="J138" s="493" t="n"/>
      <c r="K138" s="493" t="n"/>
      <c r="L138" s="493" t="n"/>
      <c r="M138" s="493" t="n"/>
      <c r="N138" s="493" t="n"/>
      <c r="O138" s="493" t="n"/>
      <c r="P138" s="493" t="n"/>
      <c r="Q138" s="493" t="n"/>
      <c r="R138" s="493" t="n"/>
      <c r="S138" s="493" t="n"/>
      <c r="T138" s="493" t="n"/>
      <c r="U138" s="493" t="n"/>
      <c r="V138" s="493" t="n"/>
      <c r="W138" s="493" t="n"/>
      <c r="X138" s="493" t="n"/>
      <c r="Y138" s="493" t="n"/>
      <c r="Z138" s="493" t="n"/>
      <c r="AA138" s="493" t="n"/>
    </row>
    <row r="139" ht="15.75" customHeight="1" s="408">
      <c r="A139" s="493" t="n"/>
      <c r="B139" s="493" t="n"/>
      <c r="C139" s="493" t="n"/>
      <c r="D139" s="493" t="n"/>
      <c r="E139" s="493" t="n"/>
      <c r="F139" s="493" t="n"/>
      <c r="G139" s="493" t="n"/>
      <c r="H139" s="493" t="n"/>
      <c r="I139" s="493" t="n"/>
      <c r="J139" s="493" t="n"/>
      <c r="K139" s="493" t="n"/>
      <c r="L139" s="493" t="n"/>
      <c r="M139" s="493" t="n"/>
      <c r="N139" s="493" t="n"/>
      <c r="O139" s="493" t="n"/>
      <c r="P139" s="493" t="n"/>
      <c r="Q139" s="493" t="n"/>
      <c r="R139" s="493" t="n"/>
      <c r="S139" s="493" t="n"/>
      <c r="T139" s="493" t="n"/>
      <c r="U139" s="493" t="n"/>
      <c r="V139" s="493" t="n"/>
      <c r="W139" s="493" t="n"/>
      <c r="X139" s="493" t="n"/>
      <c r="Y139" s="493" t="n"/>
      <c r="Z139" s="493" t="n"/>
      <c r="AA139" s="493" t="n"/>
    </row>
    <row r="140" ht="15.75" customHeight="1" s="408">
      <c r="A140" s="493" t="n"/>
      <c r="B140" s="493" t="n"/>
      <c r="C140" s="493" t="n"/>
      <c r="D140" s="493" t="n"/>
      <c r="E140" s="493" t="n"/>
      <c r="F140" s="493" t="n"/>
      <c r="G140" s="493" t="n"/>
      <c r="H140" s="493" t="n"/>
      <c r="I140" s="493" t="n"/>
      <c r="J140" s="493" t="n"/>
      <c r="K140" s="493" t="n"/>
      <c r="L140" s="493" t="n"/>
      <c r="M140" s="493" t="n"/>
      <c r="N140" s="493" t="n"/>
      <c r="O140" s="493" t="n"/>
      <c r="P140" s="493" t="n"/>
      <c r="Q140" s="493" t="n"/>
      <c r="R140" s="493" t="n"/>
      <c r="S140" s="493" t="n"/>
      <c r="T140" s="493" t="n"/>
      <c r="U140" s="493" t="n"/>
      <c r="V140" s="493" t="n"/>
      <c r="W140" s="493" t="n"/>
      <c r="X140" s="493" t="n"/>
      <c r="Y140" s="493" t="n"/>
      <c r="Z140" s="493" t="n"/>
      <c r="AA140" s="493" t="n"/>
    </row>
    <row r="141" ht="15.75" customHeight="1" s="408">
      <c r="A141" s="493" t="n"/>
      <c r="B141" s="493" t="n"/>
      <c r="C141" s="493" t="n"/>
      <c r="D141" s="493" t="n"/>
      <c r="E141" s="493" t="n"/>
      <c r="F141" s="493" t="n"/>
      <c r="G141" s="493" t="n"/>
      <c r="H141" s="493" t="n"/>
      <c r="I141" s="493" t="n"/>
      <c r="J141" s="493" t="n"/>
      <c r="K141" s="493" t="n"/>
      <c r="L141" s="493" t="n"/>
      <c r="M141" s="493" t="n"/>
      <c r="N141" s="493" t="n"/>
      <c r="O141" s="493" t="n"/>
      <c r="P141" s="493" t="n"/>
      <c r="Q141" s="493" t="n"/>
      <c r="R141" s="493" t="n"/>
      <c r="S141" s="493" t="n"/>
      <c r="T141" s="493" t="n"/>
      <c r="U141" s="493" t="n"/>
      <c r="V141" s="493" t="n"/>
      <c r="W141" s="493" t="n"/>
      <c r="X141" s="493" t="n"/>
      <c r="Y141" s="493" t="n"/>
      <c r="Z141" s="493" t="n"/>
      <c r="AA141" s="493" t="n"/>
    </row>
    <row r="142" ht="15.75" customHeight="1" s="408">
      <c r="A142" s="493" t="n"/>
      <c r="B142" s="493" t="n"/>
      <c r="C142" s="493" t="n"/>
      <c r="D142" s="493" t="n"/>
      <c r="E142" s="493" t="n"/>
      <c r="F142" s="493" t="n"/>
      <c r="G142" s="493" t="n"/>
      <c r="H142" s="493" t="n"/>
      <c r="I142" s="493" t="n"/>
      <c r="J142" s="493" t="n"/>
      <c r="K142" s="493" t="n"/>
      <c r="L142" s="493" t="n"/>
      <c r="M142" s="493" t="n"/>
      <c r="N142" s="493" t="n"/>
      <c r="O142" s="493" t="n"/>
      <c r="P142" s="493" t="n"/>
      <c r="Q142" s="493" t="n"/>
      <c r="R142" s="493" t="n"/>
      <c r="S142" s="493" t="n"/>
      <c r="T142" s="493" t="n"/>
      <c r="U142" s="493" t="n"/>
      <c r="V142" s="493" t="n"/>
      <c r="W142" s="493" t="n"/>
      <c r="X142" s="493" t="n"/>
      <c r="Y142" s="493" t="n"/>
      <c r="Z142" s="493" t="n"/>
      <c r="AA142" s="493" t="n"/>
    </row>
    <row r="143" ht="15.75" customHeight="1" s="408">
      <c r="A143" s="493" t="n"/>
      <c r="B143" s="493" t="n"/>
      <c r="C143" s="493" t="n"/>
      <c r="D143" s="493" t="n"/>
      <c r="E143" s="493" t="n"/>
      <c r="F143" s="493" t="n"/>
      <c r="G143" s="493" t="n"/>
      <c r="H143" s="493" t="n"/>
      <c r="I143" s="493" t="n"/>
      <c r="J143" s="493" t="n"/>
      <c r="K143" s="493" t="n"/>
      <c r="L143" s="493" t="n"/>
      <c r="M143" s="493" t="n"/>
      <c r="N143" s="493" t="n"/>
      <c r="O143" s="493" t="n"/>
      <c r="P143" s="493" t="n"/>
      <c r="Q143" s="493" t="n"/>
      <c r="R143" s="493" t="n"/>
      <c r="S143" s="493" t="n"/>
      <c r="T143" s="493" t="n"/>
      <c r="U143" s="493" t="n"/>
      <c r="V143" s="493" t="n"/>
      <c r="W143" s="493" t="n"/>
      <c r="X143" s="493" t="n"/>
      <c r="Y143" s="493" t="n"/>
      <c r="Z143" s="493" t="n"/>
      <c r="AA143" s="493" t="n"/>
    </row>
    <row r="144" ht="15.75" customHeight="1" s="408">
      <c r="A144" s="493" t="n"/>
      <c r="B144" s="493" t="n"/>
      <c r="C144" s="493" t="n"/>
      <c r="D144" s="493" t="n"/>
      <c r="E144" s="493" t="n"/>
      <c r="F144" s="493" t="n"/>
      <c r="G144" s="493" t="n"/>
      <c r="H144" s="493" t="n"/>
      <c r="I144" s="493" t="n"/>
      <c r="J144" s="493" t="n"/>
      <c r="K144" s="493" t="n"/>
      <c r="L144" s="493" t="n"/>
      <c r="M144" s="493" t="n"/>
      <c r="N144" s="493" t="n"/>
      <c r="O144" s="493" t="n"/>
      <c r="P144" s="493" t="n"/>
      <c r="Q144" s="493" t="n"/>
      <c r="R144" s="493" t="n"/>
      <c r="S144" s="493" t="n"/>
      <c r="T144" s="493" t="n"/>
      <c r="U144" s="493" t="n"/>
      <c r="V144" s="493" t="n"/>
      <c r="W144" s="493" t="n"/>
      <c r="X144" s="493" t="n"/>
      <c r="Y144" s="493" t="n"/>
      <c r="Z144" s="493" t="n"/>
      <c r="AA144" s="493" t="n"/>
    </row>
    <row r="145" ht="15.75" customHeight="1" s="408">
      <c r="A145" s="493" t="n"/>
      <c r="B145" s="493" t="n"/>
      <c r="C145" s="493" t="n"/>
      <c r="D145" s="493" t="n"/>
      <c r="E145" s="493" t="n"/>
      <c r="F145" s="493" t="n"/>
      <c r="G145" s="493" t="n"/>
      <c r="H145" s="493" t="n"/>
      <c r="I145" s="493" t="n"/>
      <c r="J145" s="493" t="n"/>
      <c r="K145" s="493" t="n"/>
      <c r="L145" s="493" t="n"/>
      <c r="M145" s="493" t="n"/>
      <c r="N145" s="493" t="n"/>
      <c r="O145" s="493" t="n"/>
      <c r="P145" s="493" t="n"/>
      <c r="Q145" s="493" t="n"/>
      <c r="R145" s="493" t="n"/>
      <c r="S145" s="493" t="n"/>
      <c r="T145" s="493" t="n"/>
      <c r="U145" s="493" t="n"/>
      <c r="V145" s="493" t="n"/>
      <c r="W145" s="493" t="n"/>
      <c r="X145" s="493" t="n"/>
      <c r="Y145" s="493" t="n"/>
      <c r="Z145" s="493" t="n"/>
      <c r="AA145" s="493" t="n"/>
    </row>
    <row r="146" ht="15.75" customHeight="1" s="408">
      <c r="A146" s="493" t="n"/>
      <c r="B146" s="493" t="n"/>
      <c r="C146" s="493" t="n"/>
      <c r="D146" s="493" t="n"/>
      <c r="E146" s="493" t="n"/>
      <c r="F146" s="493" t="n"/>
      <c r="G146" s="493" t="n"/>
      <c r="H146" s="493" t="n"/>
      <c r="I146" s="493" t="n"/>
      <c r="J146" s="493" t="n"/>
      <c r="K146" s="493" t="n"/>
      <c r="L146" s="493" t="n"/>
      <c r="M146" s="493" t="n"/>
      <c r="N146" s="493" t="n"/>
      <c r="O146" s="493" t="n"/>
      <c r="P146" s="493" t="n"/>
      <c r="Q146" s="493" t="n"/>
      <c r="R146" s="493" t="n"/>
      <c r="S146" s="493" t="n"/>
      <c r="T146" s="493" t="n"/>
      <c r="U146" s="493" t="n"/>
      <c r="V146" s="493" t="n"/>
      <c r="W146" s="493" t="n"/>
      <c r="X146" s="493" t="n"/>
      <c r="Y146" s="493" t="n"/>
      <c r="Z146" s="493" t="n"/>
      <c r="AA146" s="493" t="n"/>
    </row>
    <row r="147" ht="15.75" customHeight="1" s="408">
      <c r="A147" s="493" t="n"/>
      <c r="B147" s="493" t="n"/>
      <c r="C147" s="493" t="n"/>
      <c r="D147" s="493" t="n"/>
      <c r="E147" s="493" t="n"/>
      <c r="F147" s="493" t="n"/>
      <c r="G147" s="493" t="n"/>
      <c r="H147" s="493" t="n"/>
      <c r="I147" s="493" t="n"/>
      <c r="J147" s="493" t="n"/>
      <c r="K147" s="493" t="n"/>
      <c r="L147" s="493" t="n"/>
      <c r="M147" s="493" t="n"/>
      <c r="N147" s="493" t="n"/>
      <c r="O147" s="493" t="n"/>
      <c r="P147" s="493" t="n"/>
      <c r="Q147" s="493" t="n"/>
      <c r="R147" s="493" t="n"/>
      <c r="S147" s="493" t="n"/>
      <c r="T147" s="493" t="n"/>
      <c r="U147" s="493" t="n"/>
      <c r="V147" s="493" t="n"/>
      <c r="W147" s="493" t="n"/>
      <c r="X147" s="493" t="n"/>
      <c r="Y147" s="493" t="n"/>
      <c r="Z147" s="493" t="n"/>
      <c r="AA147" s="493" t="n"/>
    </row>
    <row r="148" ht="15.75" customHeight="1" s="408">
      <c r="A148" s="493" t="n"/>
      <c r="B148" s="493" t="n"/>
      <c r="C148" s="493" t="n"/>
      <c r="D148" s="493" t="n"/>
      <c r="E148" s="493" t="n"/>
      <c r="F148" s="493" t="n"/>
      <c r="G148" s="493" t="n"/>
      <c r="H148" s="493" t="n"/>
      <c r="I148" s="493" t="n"/>
      <c r="J148" s="493" t="n"/>
      <c r="K148" s="493" t="n"/>
      <c r="L148" s="493" t="n"/>
      <c r="M148" s="493" t="n"/>
      <c r="N148" s="493" t="n"/>
      <c r="O148" s="493" t="n"/>
      <c r="P148" s="493" t="n"/>
      <c r="Q148" s="493" t="n"/>
      <c r="R148" s="493" t="n"/>
      <c r="S148" s="493" t="n"/>
      <c r="T148" s="493" t="n"/>
      <c r="U148" s="493" t="n"/>
      <c r="V148" s="493" t="n"/>
      <c r="W148" s="493" t="n"/>
      <c r="X148" s="493" t="n"/>
      <c r="Y148" s="493" t="n"/>
      <c r="Z148" s="493" t="n"/>
      <c r="AA148" s="493" t="n"/>
    </row>
    <row r="149" ht="15.75" customHeight="1" s="408">
      <c r="A149" s="493" t="n"/>
      <c r="B149" s="493" t="n"/>
      <c r="C149" s="493" t="n"/>
      <c r="D149" s="493" t="n"/>
      <c r="E149" s="493" t="n"/>
      <c r="F149" s="493" t="n"/>
      <c r="G149" s="493" t="n"/>
      <c r="H149" s="493" t="n"/>
      <c r="I149" s="493" t="n"/>
      <c r="J149" s="493" t="n"/>
      <c r="K149" s="493" t="n"/>
      <c r="L149" s="493" t="n"/>
      <c r="M149" s="493" t="n"/>
      <c r="N149" s="493" t="n"/>
      <c r="O149" s="493" t="n"/>
      <c r="P149" s="493" t="n"/>
      <c r="Q149" s="493" t="n"/>
      <c r="R149" s="493" t="n"/>
      <c r="S149" s="493" t="n"/>
      <c r="T149" s="493" t="n"/>
      <c r="U149" s="493" t="n"/>
      <c r="V149" s="493" t="n"/>
      <c r="W149" s="493" t="n"/>
      <c r="X149" s="493" t="n"/>
      <c r="Y149" s="493" t="n"/>
      <c r="Z149" s="493" t="n"/>
      <c r="AA149" s="493" t="n"/>
    </row>
    <row r="150" ht="15.75" customHeight="1" s="408">
      <c r="A150" s="493" t="n"/>
      <c r="B150" s="493" t="n"/>
      <c r="C150" s="493" t="n"/>
      <c r="D150" s="493" t="n"/>
      <c r="E150" s="493" t="n"/>
      <c r="F150" s="493" t="n"/>
      <c r="G150" s="493" t="n"/>
      <c r="H150" s="493" t="n"/>
      <c r="I150" s="493" t="n"/>
      <c r="J150" s="493" t="n"/>
      <c r="K150" s="493" t="n"/>
      <c r="L150" s="493" t="n"/>
      <c r="M150" s="493" t="n"/>
      <c r="N150" s="493" t="n"/>
      <c r="O150" s="493" t="n"/>
      <c r="P150" s="493" t="n"/>
      <c r="Q150" s="493" t="n"/>
      <c r="R150" s="493" t="n"/>
      <c r="S150" s="493" t="n"/>
      <c r="T150" s="493" t="n"/>
      <c r="U150" s="493" t="n"/>
      <c r="V150" s="493" t="n"/>
      <c r="W150" s="493" t="n"/>
      <c r="X150" s="493" t="n"/>
      <c r="Y150" s="493" t="n"/>
      <c r="Z150" s="493" t="n"/>
      <c r="AA150" s="493" t="n"/>
    </row>
    <row r="151" ht="15.75" customHeight="1" s="408">
      <c r="A151" s="493" t="n"/>
      <c r="B151" s="493" t="n"/>
      <c r="C151" s="493" t="n"/>
      <c r="D151" s="493" t="n"/>
      <c r="E151" s="493" t="n"/>
      <c r="F151" s="493" t="n"/>
      <c r="G151" s="493" t="n"/>
      <c r="H151" s="493" t="n"/>
      <c r="I151" s="493" t="n"/>
      <c r="J151" s="493" t="n"/>
      <c r="K151" s="493" t="n"/>
      <c r="L151" s="493" t="n"/>
      <c r="M151" s="493" t="n"/>
      <c r="N151" s="493" t="n"/>
      <c r="O151" s="493" t="n"/>
      <c r="P151" s="493" t="n"/>
      <c r="Q151" s="493" t="n"/>
      <c r="R151" s="493" t="n"/>
      <c r="S151" s="493" t="n"/>
      <c r="T151" s="493" t="n"/>
      <c r="U151" s="493" t="n"/>
      <c r="V151" s="493" t="n"/>
      <c r="W151" s="493" t="n"/>
      <c r="X151" s="493" t="n"/>
      <c r="Y151" s="493" t="n"/>
      <c r="Z151" s="493" t="n"/>
      <c r="AA151" s="493" t="n"/>
    </row>
    <row r="152" ht="15.75" customHeight="1" s="408">
      <c r="A152" s="493" t="n"/>
      <c r="B152" s="493" t="n"/>
      <c r="C152" s="493" t="n"/>
      <c r="D152" s="493" t="n"/>
      <c r="E152" s="493" t="n"/>
      <c r="F152" s="493" t="n"/>
      <c r="G152" s="493" t="n"/>
      <c r="H152" s="493" t="n"/>
      <c r="I152" s="493" t="n"/>
      <c r="J152" s="493" t="n"/>
      <c r="K152" s="493" t="n"/>
      <c r="L152" s="493" t="n"/>
      <c r="M152" s="493" t="n"/>
      <c r="N152" s="493" t="n"/>
      <c r="O152" s="493" t="n"/>
      <c r="P152" s="493" t="n"/>
      <c r="Q152" s="493" t="n"/>
      <c r="R152" s="493" t="n"/>
      <c r="S152" s="493" t="n"/>
      <c r="T152" s="493" t="n"/>
      <c r="U152" s="493" t="n"/>
      <c r="V152" s="493" t="n"/>
      <c r="W152" s="493" t="n"/>
      <c r="X152" s="493" t="n"/>
      <c r="Y152" s="493" t="n"/>
      <c r="Z152" s="493" t="n"/>
      <c r="AA152" s="493" t="n"/>
    </row>
    <row r="153" ht="15.75" customHeight="1" s="408">
      <c r="A153" s="493" t="n"/>
      <c r="B153" s="493" t="n"/>
      <c r="C153" s="493" t="n"/>
      <c r="D153" s="493" t="n"/>
      <c r="E153" s="493" t="n"/>
      <c r="F153" s="493" t="n"/>
      <c r="G153" s="493" t="n"/>
      <c r="H153" s="493" t="n"/>
      <c r="I153" s="493" t="n"/>
      <c r="J153" s="493" t="n"/>
      <c r="K153" s="493" t="n"/>
      <c r="L153" s="493" t="n"/>
      <c r="M153" s="493" t="n"/>
      <c r="N153" s="493" t="n"/>
      <c r="O153" s="493" t="n"/>
      <c r="P153" s="493" t="n"/>
      <c r="Q153" s="493" t="n"/>
      <c r="R153" s="493" t="n"/>
      <c r="S153" s="493" t="n"/>
      <c r="T153" s="493" t="n"/>
      <c r="U153" s="493" t="n"/>
      <c r="V153" s="493" t="n"/>
      <c r="W153" s="493" t="n"/>
      <c r="X153" s="493" t="n"/>
      <c r="Y153" s="493" t="n"/>
      <c r="Z153" s="493" t="n"/>
      <c r="AA153" s="493" t="n"/>
    </row>
    <row r="154" ht="15.75" customHeight="1" s="408">
      <c r="A154" s="493" t="n"/>
      <c r="B154" s="493" t="n"/>
      <c r="C154" s="493" t="n"/>
      <c r="D154" s="493" t="n"/>
      <c r="E154" s="493" t="n"/>
      <c r="F154" s="493" t="n"/>
      <c r="G154" s="493" t="n"/>
      <c r="H154" s="493" t="n"/>
      <c r="I154" s="493" t="n"/>
      <c r="J154" s="493" t="n"/>
      <c r="K154" s="493" t="n"/>
      <c r="L154" s="493" t="n"/>
      <c r="M154" s="493" t="n"/>
      <c r="N154" s="493" t="n"/>
      <c r="O154" s="493" t="n"/>
      <c r="P154" s="493" t="n"/>
      <c r="Q154" s="493" t="n"/>
      <c r="R154" s="493" t="n"/>
      <c r="S154" s="493" t="n"/>
      <c r="T154" s="493" t="n"/>
      <c r="U154" s="493" t="n"/>
      <c r="V154" s="493" t="n"/>
      <c r="W154" s="493" t="n"/>
      <c r="X154" s="493" t="n"/>
      <c r="Y154" s="493" t="n"/>
      <c r="Z154" s="493" t="n"/>
      <c r="AA154" s="493" t="n"/>
    </row>
    <row r="155" ht="15.75" customHeight="1" s="408">
      <c r="A155" s="493" t="n"/>
      <c r="B155" s="493" t="n"/>
      <c r="C155" s="493" t="n"/>
      <c r="D155" s="493" t="n"/>
      <c r="E155" s="493" t="n"/>
      <c r="F155" s="493" t="n"/>
      <c r="G155" s="493" t="n"/>
      <c r="H155" s="493" t="n"/>
      <c r="I155" s="493" t="n"/>
      <c r="J155" s="493" t="n"/>
      <c r="K155" s="493" t="n"/>
      <c r="L155" s="493" t="n"/>
      <c r="M155" s="493" t="n"/>
      <c r="N155" s="493" t="n"/>
      <c r="O155" s="493" t="n"/>
      <c r="P155" s="493" t="n"/>
      <c r="Q155" s="493" t="n"/>
      <c r="R155" s="493" t="n"/>
      <c r="S155" s="493" t="n"/>
      <c r="T155" s="493" t="n"/>
      <c r="U155" s="493" t="n"/>
      <c r="V155" s="493" t="n"/>
      <c r="W155" s="493" t="n"/>
      <c r="X155" s="493" t="n"/>
      <c r="Y155" s="493" t="n"/>
      <c r="Z155" s="493" t="n"/>
      <c r="AA155" s="493" t="n"/>
    </row>
    <row r="156" ht="15.75" customHeight="1" s="408">
      <c r="A156" s="493" t="n"/>
      <c r="B156" s="493" t="n"/>
      <c r="C156" s="493" t="n"/>
      <c r="D156" s="493" t="n"/>
      <c r="E156" s="493" t="n"/>
      <c r="F156" s="493" t="n"/>
      <c r="G156" s="493" t="n"/>
      <c r="H156" s="493" t="n"/>
      <c r="I156" s="493" t="n"/>
      <c r="J156" s="493" t="n"/>
      <c r="K156" s="493" t="n"/>
      <c r="L156" s="493" t="n"/>
      <c r="M156" s="493" t="n"/>
      <c r="N156" s="493" t="n"/>
      <c r="O156" s="493" t="n"/>
      <c r="P156" s="493" t="n"/>
      <c r="Q156" s="493" t="n"/>
      <c r="R156" s="493" t="n"/>
      <c r="S156" s="493" t="n"/>
      <c r="T156" s="493" t="n"/>
      <c r="U156" s="493" t="n"/>
      <c r="V156" s="493" t="n"/>
      <c r="W156" s="493" t="n"/>
      <c r="X156" s="493" t="n"/>
      <c r="Y156" s="493" t="n"/>
      <c r="Z156" s="493" t="n"/>
      <c r="AA156" s="493" t="n"/>
    </row>
    <row r="157" ht="15.75" customHeight="1" s="408">
      <c r="A157" s="493" t="n"/>
      <c r="B157" s="493" t="n"/>
      <c r="C157" s="493" t="n"/>
      <c r="D157" s="493" t="n"/>
      <c r="E157" s="493" t="n"/>
      <c r="F157" s="493" t="n"/>
      <c r="G157" s="493" t="n"/>
      <c r="H157" s="493" t="n"/>
      <c r="I157" s="493" t="n"/>
      <c r="J157" s="493" t="n"/>
      <c r="K157" s="493" t="n"/>
      <c r="L157" s="493" t="n"/>
      <c r="M157" s="493" t="n"/>
      <c r="N157" s="493" t="n"/>
      <c r="O157" s="493" t="n"/>
      <c r="P157" s="493" t="n"/>
      <c r="Q157" s="493" t="n"/>
      <c r="R157" s="493" t="n"/>
      <c r="S157" s="493" t="n"/>
      <c r="T157" s="493" t="n"/>
      <c r="U157" s="493" t="n"/>
      <c r="V157" s="493" t="n"/>
      <c r="W157" s="493" t="n"/>
      <c r="X157" s="493" t="n"/>
      <c r="Y157" s="493" t="n"/>
      <c r="Z157" s="493" t="n"/>
      <c r="AA157" s="493" t="n"/>
    </row>
    <row r="158" ht="15.75" customHeight="1" s="408">
      <c r="A158" s="493" t="n"/>
      <c r="B158" s="493" t="n"/>
      <c r="C158" s="493" t="n"/>
      <c r="D158" s="493" t="n"/>
      <c r="E158" s="493" t="n"/>
      <c r="F158" s="493" t="n"/>
      <c r="G158" s="493" t="n"/>
      <c r="H158" s="493" t="n"/>
      <c r="I158" s="493" t="n"/>
      <c r="J158" s="493" t="n"/>
      <c r="K158" s="493" t="n"/>
      <c r="L158" s="493" t="n"/>
      <c r="M158" s="493" t="n"/>
      <c r="N158" s="493" t="n"/>
      <c r="O158" s="493" t="n"/>
      <c r="P158" s="493" t="n"/>
      <c r="Q158" s="493" t="n"/>
      <c r="R158" s="493" t="n"/>
      <c r="S158" s="493" t="n"/>
      <c r="T158" s="493" t="n"/>
      <c r="U158" s="493" t="n"/>
      <c r="V158" s="493" t="n"/>
      <c r="W158" s="493" t="n"/>
      <c r="X158" s="493" t="n"/>
      <c r="Y158" s="493" t="n"/>
      <c r="Z158" s="493" t="n"/>
      <c r="AA158" s="493" t="n"/>
    </row>
    <row r="159" ht="15.75" customHeight="1" s="408">
      <c r="A159" s="493" t="n"/>
      <c r="B159" s="493" t="n"/>
      <c r="C159" s="493" t="n"/>
      <c r="D159" s="493" t="n"/>
      <c r="E159" s="493" t="n"/>
      <c r="F159" s="493" t="n"/>
      <c r="G159" s="493" t="n"/>
      <c r="H159" s="493" t="n"/>
      <c r="I159" s="493" t="n"/>
      <c r="J159" s="493" t="n"/>
      <c r="K159" s="493" t="n"/>
      <c r="L159" s="493" t="n"/>
      <c r="M159" s="493" t="n"/>
      <c r="N159" s="493" t="n"/>
      <c r="O159" s="493" t="n"/>
      <c r="P159" s="493" t="n"/>
      <c r="Q159" s="493" t="n"/>
      <c r="R159" s="493" t="n"/>
      <c r="S159" s="493" t="n"/>
      <c r="T159" s="493" t="n"/>
      <c r="U159" s="493" t="n"/>
      <c r="V159" s="493" t="n"/>
      <c r="W159" s="493" t="n"/>
      <c r="X159" s="493" t="n"/>
      <c r="Y159" s="493" t="n"/>
      <c r="Z159" s="493" t="n"/>
      <c r="AA159" s="493" t="n"/>
    </row>
    <row r="160" ht="15.75" customHeight="1" s="408">
      <c r="A160" s="493" t="n"/>
      <c r="B160" s="493" t="n"/>
      <c r="C160" s="493" t="n"/>
      <c r="D160" s="493" t="n"/>
      <c r="E160" s="493" t="n"/>
      <c r="F160" s="493" t="n"/>
      <c r="G160" s="493" t="n"/>
      <c r="H160" s="493" t="n"/>
      <c r="I160" s="493" t="n"/>
      <c r="J160" s="493" t="n"/>
      <c r="K160" s="493" t="n"/>
      <c r="L160" s="493" t="n"/>
      <c r="M160" s="493" t="n"/>
      <c r="N160" s="493" t="n"/>
      <c r="O160" s="493" t="n"/>
      <c r="P160" s="493" t="n"/>
      <c r="Q160" s="493" t="n"/>
      <c r="R160" s="493" t="n"/>
      <c r="S160" s="493" t="n"/>
      <c r="T160" s="493" t="n"/>
      <c r="U160" s="493" t="n"/>
      <c r="V160" s="493" t="n"/>
      <c r="W160" s="493" t="n"/>
      <c r="X160" s="493" t="n"/>
      <c r="Y160" s="493" t="n"/>
      <c r="Z160" s="493" t="n"/>
      <c r="AA160" s="493" t="n"/>
    </row>
    <row r="161" ht="15.75" customHeight="1" s="408">
      <c r="A161" s="493" t="n"/>
      <c r="B161" s="493" t="n"/>
      <c r="C161" s="493" t="n"/>
      <c r="D161" s="493" t="n"/>
      <c r="E161" s="493" t="n"/>
      <c r="F161" s="493" t="n"/>
      <c r="G161" s="493" t="n"/>
      <c r="H161" s="493" t="n"/>
      <c r="I161" s="493" t="n"/>
      <c r="J161" s="493" t="n"/>
      <c r="K161" s="493" t="n"/>
      <c r="L161" s="493" t="n"/>
      <c r="M161" s="493" t="n"/>
      <c r="N161" s="493" t="n"/>
      <c r="O161" s="493" t="n"/>
      <c r="P161" s="493" t="n"/>
      <c r="Q161" s="493" t="n"/>
      <c r="R161" s="493" t="n"/>
      <c r="S161" s="493" t="n"/>
      <c r="T161" s="493" t="n"/>
      <c r="U161" s="493" t="n"/>
      <c r="V161" s="493" t="n"/>
      <c r="W161" s="493" t="n"/>
      <c r="X161" s="493" t="n"/>
      <c r="Y161" s="493" t="n"/>
      <c r="Z161" s="493" t="n"/>
      <c r="AA161" s="493" t="n"/>
    </row>
    <row r="162" ht="15.75" customHeight="1" s="408">
      <c r="A162" s="493" t="n"/>
      <c r="B162" s="493" t="n"/>
      <c r="C162" s="493" t="n"/>
      <c r="D162" s="493" t="n"/>
      <c r="E162" s="493" t="n"/>
      <c r="F162" s="493" t="n"/>
      <c r="G162" s="493" t="n"/>
      <c r="H162" s="493" t="n"/>
      <c r="I162" s="493" t="n"/>
      <c r="J162" s="493" t="n"/>
      <c r="K162" s="493" t="n"/>
      <c r="L162" s="493" t="n"/>
      <c r="M162" s="493" t="n"/>
      <c r="N162" s="493" t="n"/>
      <c r="O162" s="493" t="n"/>
      <c r="P162" s="493" t="n"/>
      <c r="Q162" s="493" t="n"/>
      <c r="R162" s="493" t="n"/>
      <c r="S162" s="493" t="n"/>
      <c r="T162" s="493" t="n"/>
      <c r="U162" s="493" t="n"/>
      <c r="V162" s="493" t="n"/>
      <c r="W162" s="493" t="n"/>
      <c r="X162" s="493" t="n"/>
      <c r="Y162" s="493" t="n"/>
      <c r="Z162" s="493" t="n"/>
      <c r="AA162" s="493" t="n"/>
    </row>
    <row r="163" ht="15.75" customHeight="1" s="408">
      <c r="A163" s="493" t="n"/>
      <c r="B163" s="493" t="n"/>
      <c r="C163" s="493" t="n"/>
      <c r="D163" s="493" t="n"/>
      <c r="E163" s="493" t="n"/>
      <c r="F163" s="493" t="n"/>
      <c r="G163" s="493" t="n"/>
      <c r="H163" s="493" t="n"/>
      <c r="I163" s="493" t="n"/>
      <c r="J163" s="493" t="n"/>
      <c r="K163" s="493" t="n"/>
      <c r="L163" s="493" t="n"/>
      <c r="M163" s="493" t="n"/>
      <c r="N163" s="493" t="n"/>
      <c r="O163" s="493" t="n"/>
      <c r="P163" s="493" t="n"/>
      <c r="Q163" s="493" t="n"/>
      <c r="R163" s="493" t="n"/>
      <c r="S163" s="493" t="n"/>
      <c r="T163" s="493" t="n"/>
      <c r="U163" s="493" t="n"/>
      <c r="V163" s="493" t="n"/>
      <c r="W163" s="493" t="n"/>
      <c r="X163" s="493" t="n"/>
      <c r="Y163" s="493" t="n"/>
      <c r="Z163" s="493" t="n"/>
      <c r="AA163" s="493" t="n"/>
    </row>
    <row r="164" ht="15.75" customHeight="1" s="408">
      <c r="A164" s="493" t="n"/>
      <c r="B164" s="493" t="n"/>
      <c r="C164" s="493" t="n"/>
      <c r="D164" s="493" t="n"/>
      <c r="E164" s="493" t="n"/>
      <c r="F164" s="493" t="n"/>
      <c r="G164" s="493" t="n"/>
      <c r="H164" s="493" t="n"/>
      <c r="I164" s="493" t="n"/>
      <c r="J164" s="493" t="n"/>
      <c r="K164" s="493" t="n"/>
      <c r="L164" s="493" t="n"/>
      <c r="M164" s="493" t="n"/>
      <c r="N164" s="493" t="n"/>
      <c r="O164" s="493" t="n"/>
      <c r="P164" s="493" t="n"/>
      <c r="Q164" s="493" t="n"/>
      <c r="R164" s="493" t="n"/>
      <c r="S164" s="493" t="n"/>
      <c r="T164" s="493" t="n"/>
      <c r="U164" s="493" t="n"/>
      <c r="V164" s="493" t="n"/>
      <c r="W164" s="493" t="n"/>
      <c r="X164" s="493" t="n"/>
      <c r="Y164" s="493" t="n"/>
      <c r="Z164" s="493" t="n"/>
      <c r="AA164" s="493" t="n"/>
    </row>
    <row r="165" ht="15.75" customHeight="1" s="408">
      <c r="A165" s="493" t="n"/>
      <c r="B165" s="493" t="n"/>
      <c r="C165" s="493" t="n"/>
      <c r="D165" s="493" t="n"/>
      <c r="E165" s="493" t="n"/>
      <c r="F165" s="493" t="n"/>
      <c r="G165" s="493" t="n"/>
      <c r="H165" s="493" t="n"/>
      <c r="I165" s="493" t="n"/>
      <c r="J165" s="493" t="n"/>
      <c r="K165" s="493" t="n"/>
      <c r="L165" s="493" t="n"/>
      <c r="M165" s="493" t="n"/>
      <c r="N165" s="493" t="n"/>
      <c r="O165" s="493" t="n"/>
      <c r="P165" s="493" t="n"/>
      <c r="Q165" s="493" t="n"/>
      <c r="R165" s="493" t="n"/>
      <c r="S165" s="493" t="n"/>
      <c r="T165" s="493" t="n"/>
      <c r="U165" s="493" t="n"/>
      <c r="V165" s="493" t="n"/>
      <c r="W165" s="493" t="n"/>
      <c r="X165" s="493" t="n"/>
      <c r="Y165" s="493" t="n"/>
      <c r="Z165" s="493" t="n"/>
      <c r="AA165" s="493" t="n"/>
    </row>
    <row r="166" ht="15.75" customHeight="1" s="408">
      <c r="A166" s="493" t="n"/>
      <c r="B166" s="493" t="n"/>
      <c r="C166" s="493" t="n"/>
      <c r="D166" s="493" t="n"/>
      <c r="E166" s="493" t="n"/>
      <c r="F166" s="493" t="n"/>
      <c r="G166" s="493" t="n"/>
      <c r="H166" s="493" t="n"/>
      <c r="I166" s="493" t="n"/>
      <c r="J166" s="493" t="n"/>
      <c r="K166" s="493" t="n"/>
      <c r="L166" s="493" t="n"/>
      <c r="M166" s="493" t="n"/>
      <c r="N166" s="493" t="n"/>
      <c r="O166" s="493" t="n"/>
      <c r="P166" s="493" t="n"/>
      <c r="Q166" s="493" t="n"/>
      <c r="R166" s="493" t="n"/>
      <c r="S166" s="493" t="n"/>
      <c r="T166" s="493" t="n"/>
      <c r="U166" s="493" t="n"/>
      <c r="V166" s="493" t="n"/>
      <c r="W166" s="493" t="n"/>
      <c r="X166" s="493" t="n"/>
      <c r="Y166" s="493" t="n"/>
      <c r="Z166" s="493" t="n"/>
      <c r="AA166" s="493" t="n"/>
    </row>
    <row r="167" ht="15.75" customHeight="1" s="408">
      <c r="A167" s="493" t="n"/>
      <c r="B167" s="493" t="n"/>
      <c r="C167" s="493" t="n"/>
      <c r="D167" s="493" t="n"/>
      <c r="E167" s="493" t="n"/>
      <c r="F167" s="493" t="n"/>
      <c r="G167" s="493" t="n"/>
      <c r="H167" s="493" t="n"/>
      <c r="I167" s="493" t="n"/>
      <c r="J167" s="493" t="n"/>
      <c r="K167" s="493" t="n"/>
      <c r="L167" s="493" t="n"/>
      <c r="M167" s="493" t="n"/>
      <c r="N167" s="493" t="n"/>
      <c r="O167" s="493" t="n"/>
      <c r="P167" s="493" t="n"/>
      <c r="Q167" s="493" t="n"/>
      <c r="R167" s="493" t="n"/>
      <c r="S167" s="493" t="n"/>
      <c r="T167" s="493" t="n"/>
      <c r="U167" s="493" t="n"/>
      <c r="V167" s="493" t="n"/>
      <c r="W167" s="493" t="n"/>
      <c r="X167" s="493" t="n"/>
      <c r="Y167" s="493" t="n"/>
      <c r="Z167" s="493" t="n"/>
      <c r="AA167" s="493" t="n"/>
    </row>
    <row r="168" ht="15.75" customHeight="1" s="408">
      <c r="A168" s="493" t="n"/>
      <c r="B168" s="493" t="n"/>
      <c r="C168" s="493" t="n"/>
      <c r="D168" s="493" t="n"/>
      <c r="E168" s="493" t="n"/>
      <c r="F168" s="493" t="n"/>
      <c r="G168" s="493" t="n"/>
      <c r="H168" s="493" t="n"/>
      <c r="I168" s="493" t="n"/>
      <c r="J168" s="493" t="n"/>
      <c r="K168" s="493" t="n"/>
      <c r="L168" s="493" t="n"/>
      <c r="M168" s="493" t="n"/>
      <c r="N168" s="493" t="n"/>
      <c r="O168" s="493" t="n"/>
      <c r="P168" s="493" t="n"/>
      <c r="Q168" s="493" t="n"/>
      <c r="R168" s="493" t="n"/>
      <c r="S168" s="493" t="n"/>
      <c r="T168" s="493" t="n"/>
      <c r="U168" s="493" t="n"/>
      <c r="V168" s="493" t="n"/>
      <c r="W168" s="493" t="n"/>
      <c r="X168" s="493" t="n"/>
      <c r="Y168" s="493" t="n"/>
      <c r="Z168" s="493" t="n"/>
      <c r="AA168" s="493" t="n"/>
    </row>
    <row r="169" ht="15.75" customHeight="1" s="408">
      <c r="A169" s="493" t="n"/>
      <c r="B169" s="493" t="n"/>
      <c r="C169" s="493" t="n"/>
      <c r="D169" s="493" t="n"/>
      <c r="E169" s="493" t="n"/>
      <c r="F169" s="493" t="n"/>
      <c r="G169" s="493" t="n"/>
      <c r="H169" s="493" t="n"/>
      <c r="I169" s="493" t="n"/>
      <c r="J169" s="493" t="n"/>
      <c r="K169" s="493" t="n"/>
      <c r="L169" s="493" t="n"/>
      <c r="M169" s="493" t="n"/>
      <c r="N169" s="493" t="n"/>
      <c r="O169" s="493" t="n"/>
      <c r="P169" s="493" t="n"/>
      <c r="Q169" s="493" t="n"/>
      <c r="R169" s="493" t="n"/>
      <c r="S169" s="493" t="n"/>
      <c r="T169" s="493" t="n"/>
      <c r="U169" s="493" t="n"/>
      <c r="V169" s="493" t="n"/>
      <c r="W169" s="493" t="n"/>
      <c r="X169" s="493" t="n"/>
      <c r="Y169" s="493" t="n"/>
      <c r="Z169" s="493" t="n"/>
      <c r="AA169" s="493" t="n"/>
    </row>
    <row r="170" ht="15.75" customHeight="1" s="408">
      <c r="A170" s="493" t="n"/>
      <c r="B170" s="493" t="n"/>
      <c r="C170" s="493" t="n"/>
      <c r="D170" s="493" t="n"/>
      <c r="E170" s="493" t="n"/>
      <c r="F170" s="493" t="n"/>
      <c r="G170" s="493" t="n"/>
      <c r="H170" s="493" t="n"/>
      <c r="I170" s="493" t="n"/>
      <c r="J170" s="493" t="n"/>
      <c r="K170" s="493" t="n"/>
      <c r="L170" s="493" t="n"/>
      <c r="M170" s="493" t="n"/>
      <c r="N170" s="493" t="n"/>
      <c r="O170" s="493" t="n"/>
      <c r="P170" s="493" t="n"/>
      <c r="Q170" s="493" t="n"/>
      <c r="R170" s="493" t="n"/>
      <c r="S170" s="493" t="n"/>
      <c r="T170" s="493" t="n"/>
      <c r="U170" s="493" t="n"/>
      <c r="V170" s="493" t="n"/>
      <c r="W170" s="493" t="n"/>
      <c r="X170" s="493" t="n"/>
      <c r="Y170" s="493" t="n"/>
      <c r="Z170" s="493" t="n"/>
      <c r="AA170" s="493" t="n"/>
    </row>
    <row r="171" ht="15.75" customHeight="1" s="408">
      <c r="A171" s="493" t="n"/>
      <c r="B171" s="493" t="n"/>
      <c r="C171" s="493" t="n"/>
      <c r="D171" s="493" t="n"/>
      <c r="E171" s="493" t="n"/>
      <c r="F171" s="493" t="n"/>
      <c r="G171" s="493" t="n"/>
      <c r="H171" s="493" t="n"/>
      <c r="I171" s="493" t="n"/>
      <c r="J171" s="493" t="n"/>
      <c r="K171" s="493" t="n"/>
      <c r="L171" s="493" t="n"/>
      <c r="M171" s="493" t="n"/>
      <c r="N171" s="493" t="n"/>
      <c r="O171" s="493" t="n"/>
      <c r="P171" s="493" t="n"/>
      <c r="Q171" s="493" t="n"/>
      <c r="R171" s="493" t="n"/>
      <c r="S171" s="493" t="n"/>
      <c r="T171" s="493" t="n"/>
      <c r="U171" s="493" t="n"/>
      <c r="V171" s="493" t="n"/>
      <c r="W171" s="493" t="n"/>
      <c r="X171" s="493" t="n"/>
      <c r="Y171" s="493" t="n"/>
      <c r="Z171" s="493" t="n"/>
      <c r="AA171" s="493" t="n"/>
    </row>
    <row r="172" ht="15.75" customHeight="1" s="408">
      <c r="A172" s="493" t="n"/>
      <c r="B172" s="493" t="n"/>
      <c r="C172" s="493" t="n"/>
      <c r="D172" s="493" t="n"/>
      <c r="E172" s="493" t="n"/>
      <c r="F172" s="493" t="n"/>
      <c r="G172" s="493" t="n"/>
      <c r="H172" s="493" t="n"/>
      <c r="I172" s="493" t="n"/>
      <c r="J172" s="493" t="n"/>
      <c r="K172" s="493" t="n"/>
      <c r="L172" s="493" t="n"/>
      <c r="M172" s="493" t="n"/>
      <c r="N172" s="493" t="n"/>
      <c r="O172" s="493" t="n"/>
      <c r="P172" s="493" t="n"/>
      <c r="Q172" s="493" t="n"/>
      <c r="R172" s="493" t="n"/>
      <c r="S172" s="493" t="n"/>
      <c r="T172" s="493" t="n"/>
      <c r="U172" s="493" t="n"/>
      <c r="V172" s="493" t="n"/>
      <c r="W172" s="493" t="n"/>
      <c r="X172" s="493" t="n"/>
      <c r="Y172" s="493" t="n"/>
      <c r="Z172" s="493" t="n"/>
      <c r="AA172" s="493" t="n"/>
    </row>
    <row r="173" ht="15.75" customHeight="1" s="408">
      <c r="A173" s="493" t="n"/>
      <c r="B173" s="493" t="n"/>
      <c r="C173" s="493" t="n"/>
      <c r="D173" s="493" t="n"/>
      <c r="E173" s="493" t="n"/>
      <c r="F173" s="493" t="n"/>
      <c r="G173" s="493" t="n"/>
      <c r="H173" s="493" t="n"/>
      <c r="I173" s="493" t="n"/>
      <c r="J173" s="493" t="n"/>
      <c r="K173" s="493" t="n"/>
      <c r="L173" s="493" t="n"/>
      <c r="M173" s="493" t="n"/>
      <c r="N173" s="493" t="n"/>
      <c r="O173" s="493" t="n"/>
      <c r="P173" s="493" t="n"/>
      <c r="Q173" s="493" t="n"/>
      <c r="R173" s="493" t="n"/>
      <c r="S173" s="493" t="n"/>
      <c r="T173" s="493" t="n"/>
      <c r="U173" s="493" t="n"/>
      <c r="V173" s="493" t="n"/>
      <c r="W173" s="493" t="n"/>
      <c r="X173" s="493" t="n"/>
      <c r="Y173" s="493" t="n"/>
      <c r="Z173" s="493" t="n"/>
      <c r="AA173" s="493" t="n"/>
    </row>
    <row r="174" ht="15.75" customHeight="1" s="408">
      <c r="A174" s="493" t="n"/>
      <c r="B174" s="493" t="n"/>
      <c r="C174" s="493" t="n"/>
      <c r="D174" s="493" t="n"/>
      <c r="E174" s="493" t="n"/>
      <c r="F174" s="493" t="n"/>
      <c r="G174" s="493" t="n"/>
      <c r="H174" s="493" t="n"/>
      <c r="I174" s="493" t="n"/>
      <c r="J174" s="493" t="n"/>
      <c r="K174" s="493" t="n"/>
      <c r="L174" s="493" t="n"/>
      <c r="M174" s="493" t="n"/>
      <c r="N174" s="493" t="n"/>
      <c r="O174" s="493" t="n"/>
      <c r="P174" s="493" t="n"/>
      <c r="Q174" s="493" t="n"/>
      <c r="R174" s="493" t="n"/>
      <c r="S174" s="493" t="n"/>
      <c r="T174" s="493" t="n"/>
      <c r="U174" s="493" t="n"/>
      <c r="V174" s="493" t="n"/>
      <c r="W174" s="493" t="n"/>
      <c r="X174" s="493" t="n"/>
      <c r="Y174" s="493" t="n"/>
      <c r="Z174" s="493" t="n"/>
      <c r="AA174" s="493" t="n"/>
    </row>
    <row r="175" ht="15.75" customHeight="1" s="408">
      <c r="A175" s="493" t="n"/>
      <c r="B175" s="493" t="n"/>
      <c r="C175" s="493" t="n"/>
      <c r="D175" s="493" t="n"/>
      <c r="E175" s="493" t="n"/>
      <c r="F175" s="493" t="n"/>
      <c r="G175" s="493" t="n"/>
      <c r="H175" s="493" t="n"/>
      <c r="I175" s="493" t="n"/>
      <c r="J175" s="493" t="n"/>
      <c r="K175" s="493" t="n"/>
      <c r="L175" s="493" t="n"/>
      <c r="M175" s="493" t="n"/>
      <c r="N175" s="493" t="n"/>
      <c r="O175" s="493" t="n"/>
      <c r="P175" s="493" t="n"/>
      <c r="Q175" s="493" t="n"/>
      <c r="R175" s="493" t="n"/>
      <c r="S175" s="493" t="n"/>
      <c r="T175" s="493" t="n"/>
      <c r="U175" s="493" t="n"/>
      <c r="V175" s="493" t="n"/>
      <c r="W175" s="493" t="n"/>
      <c r="X175" s="493" t="n"/>
      <c r="Y175" s="493" t="n"/>
      <c r="Z175" s="493" t="n"/>
      <c r="AA175" s="493" t="n"/>
    </row>
    <row r="176" ht="15.75" customHeight="1" s="408">
      <c r="A176" s="493" t="n"/>
      <c r="B176" s="493" t="n"/>
      <c r="C176" s="493" t="n"/>
      <c r="D176" s="493" t="n"/>
      <c r="E176" s="493" t="n"/>
      <c r="F176" s="493" t="n"/>
      <c r="G176" s="493" t="n"/>
      <c r="H176" s="493" t="n"/>
      <c r="I176" s="493" t="n"/>
      <c r="J176" s="493" t="n"/>
      <c r="K176" s="493" t="n"/>
      <c r="L176" s="493" t="n"/>
      <c r="M176" s="493" t="n"/>
      <c r="N176" s="493" t="n"/>
      <c r="O176" s="493" t="n"/>
      <c r="P176" s="493" t="n"/>
      <c r="Q176" s="493" t="n"/>
      <c r="R176" s="493" t="n"/>
      <c r="S176" s="493" t="n"/>
      <c r="T176" s="493" t="n"/>
      <c r="U176" s="493" t="n"/>
      <c r="V176" s="493" t="n"/>
      <c r="W176" s="493" t="n"/>
      <c r="X176" s="493" t="n"/>
      <c r="Y176" s="493" t="n"/>
      <c r="Z176" s="493" t="n"/>
      <c r="AA176" s="493" t="n"/>
    </row>
    <row r="177" ht="15.75" customHeight="1" s="408">
      <c r="A177" s="493" t="n"/>
      <c r="B177" s="493" t="n"/>
      <c r="C177" s="493" t="n"/>
      <c r="D177" s="493" t="n"/>
      <c r="E177" s="493" t="n"/>
      <c r="F177" s="493" t="n"/>
      <c r="G177" s="493" t="n"/>
      <c r="H177" s="493" t="n"/>
      <c r="I177" s="493" t="n"/>
      <c r="J177" s="493" t="n"/>
      <c r="K177" s="493" t="n"/>
      <c r="L177" s="493" t="n"/>
      <c r="M177" s="493" t="n"/>
      <c r="N177" s="493" t="n"/>
      <c r="O177" s="493" t="n"/>
      <c r="P177" s="493" t="n"/>
      <c r="Q177" s="493" t="n"/>
      <c r="R177" s="493" t="n"/>
      <c r="S177" s="493" t="n"/>
      <c r="T177" s="493" t="n"/>
      <c r="U177" s="493" t="n"/>
      <c r="V177" s="493" t="n"/>
      <c r="W177" s="493" t="n"/>
      <c r="X177" s="493" t="n"/>
      <c r="Y177" s="493" t="n"/>
      <c r="Z177" s="493" t="n"/>
      <c r="AA177" s="493" t="n"/>
    </row>
    <row r="178" ht="15.75" customHeight="1" s="408">
      <c r="A178" s="493" t="n"/>
      <c r="B178" s="493" t="n"/>
      <c r="C178" s="493" t="n"/>
      <c r="D178" s="493" t="n"/>
      <c r="E178" s="493" t="n"/>
      <c r="F178" s="493" t="n"/>
      <c r="G178" s="493" t="n"/>
      <c r="H178" s="493" t="n"/>
      <c r="I178" s="493" t="n"/>
      <c r="J178" s="493" t="n"/>
      <c r="K178" s="493" t="n"/>
      <c r="L178" s="493" t="n"/>
      <c r="M178" s="493" t="n"/>
      <c r="N178" s="493" t="n"/>
      <c r="O178" s="493" t="n"/>
      <c r="P178" s="493" t="n"/>
      <c r="Q178" s="493" t="n"/>
      <c r="R178" s="493" t="n"/>
      <c r="S178" s="493" t="n"/>
      <c r="T178" s="493" t="n"/>
      <c r="U178" s="493" t="n"/>
      <c r="V178" s="493" t="n"/>
      <c r="W178" s="493" t="n"/>
      <c r="X178" s="493" t="n"/>
      <c r="Y178" s="493" t="n"/>
      <c r="Z178" s="493" t="n"/>
      <c r="AA178" s="493" t="n"/>
    </row>
    <row r="179" ht="15.75" customHeight="1" s="408">
      <c r="A179" s="493" t="n"/>
      <c r="B179" s="493" t="n"/>
      <c r="C179" s="493" t="n"/>
      <c r="D179" s="493" t="n"/>
      <c r="E179" s="493" t="n"/>
      <c r="F179" s="493" t="n"/>
      <c r="G179" s="493" t="n"/>
      <c r="H179" s="493" t="n"/>
      <c r="I179" s="493" t="n"/>
      <c r="J179" s="493" t="n"/>
      <c r="K179" s="493" t="n"/>
      <c r="L179" s="493" t="n"/>
      <c r="M179" s="493" t="n"/>
      <c r="N179" s="493" t="n"/>
      <c r="O179" s="493" t="n"/>
      <c r="P179" s="493" t="n"/>
      <c r="Q179" s="493" t="n"/>
      <c r="R179" s="493" t="n"/>
      <c r="S179" s="493" t="n"/>
      <c r="T179" s="493" t="n"/>
      <c r="U179" s="493" t="n"/>
      <c r="V179" s="493" t="n"/>
      <c r="W179" s="493" t="n"/>
      <c r="X179" s="493" t="n"/>
      <c r="Y179" s="493" t="n"/>
      <c r="Z179" s="493" t="n"/>
      <c r="AA179" s="493" t="n"/>
    </row>
    <row r="180" ht="15.75" customHeight="1" s="408">
      <c r="A180" s="493" t="n"/>
      <c r="B180" s="493" t="n"/>
      <c r="C180" s="493" t="n"/>
      <c r="D180" s="493" t="n"/>
      <c r="E180" s="493" t="n"/>
      <c r="F180" s="493" t="n"/>
      <c r="G180" s="493" t="n"/>
      <c r="H180" s="493" t="n"/>
      <c r="I180" s="493" t="n"/>
      <c r="J180" s="493" t="n"/>
      <c r="K180" s="493" t="n"/>
      <c r="L180" s="493" t="n"/>
      <c r="M180" s="493" t="n"/>
      <c r="N180" s="493" t="n"/>
      <c r="O180" s="493" t="n"/>
      <c r="P180" s="493" t="n"/>
      <c r="Q180" s="493" t="n"/>
      <c r="R180" s="493" t="n"/>
      <c r="S180" s="493" t="n"/>
      <c r="T180" s="493" t="n"/>
      <c r="U180" s="493" t="n"/>
      <c r="V180" s="493" t="n"/>
      <c r="W180" s="493" t="n"/>
      <c r="X180" s="493" t="n"/>
      <c r="Y180" s="493" t="n"/>
      <c r="Z180" s="493" t="n"/>
      <c r="AA180" s="493" t="n"/>
    </row>
    <row r="181" ht="15.75" customHeight="1" s="408">
      <c r="A181" s="493" t="n"/>
      <c r="B181" s="493" t="n"/>
      <c r="C181" s="493" t="n"/>
      <c r="D181" s="493" t="n"/>
      <c r="E181" s="493" t="n"/>
      <c r="F181" s="493" t="n"/>
      <c r="G181" s="493" t="n"/>
      <c r="H181" s="493" t="n"/>
      <c r="I181" s="493" t="n"/>
      <c r="J181" s="493" t="n"/>
      <c r="K181" s="493" t="n"/>
      <c r="L181" s="493" t="n"/>
      <c r="M181" s="493" t="n"/>
      <c r="N181" s="493" t="n"/>
      <c r="O181" s="493" t="n"/>
      <c r="P181" s="493" t="n"/>
      <c r="Q181" s="493" t="n"/>
      <c r="R181" s="493" t="n"/>
      <c r="S181" s="493" t="n"/>
      <c r="T181" s="493" t="n"/>
      <c r="U181" s="493" t="n"/>
      <c r="V181" s="493" t="n"/>
      <c r="W181" s="493" t="n"/>
      <c r="X181" s="493" t="n"/>
      <c r="Y181" s="493" t="n"/>
      <c r="Z181" s="493" t="n"/>
      <c r="AA181" s="493" t="n"/>
    </row>
    <row r="182" ht="15.75" customHeight="1" s="408">
      <c r="A182" s="493" t="n"/>
      <c r="B182" s="493" t="n"/>
      <c r="C182" s="493" t="n"/>
      <c r="D182" s="493" t="n"/>
      <c r="E182" s="493" t="n"/>
      <c r="F182" s="493" t="n"/>
      <c r="G182" s="493" t="n"/>
      <c r="H182" s="493" t="n"/>
      <c r="I182" s="493" t="n"/>
      <c r="J182" s="493" t="n"/>
      <c r="K182" s="493" t="n"/>
      <c r="L182" s="493" t="n"/>
      <c r="M182" s="493" t="n"/>
      <c r="N182" s="493" t="n"/>
      <c r="O182" s="493" t="n"/>
      <c r="P182" s="493" t="n"/>
      <c r="Q182" s="493" t="n"/>
      <c r="R182" s="493" t="n"/>
      <c r="S182" s="493" t="n"/>
      <c r="T182" s="493" t="n"/>
      <c r="U182" s="493" t="n"/>
      <c r="V182" s="493" t="n"/>
      <c r="W182" s="493" t="n"/>
      <c r="X182" s="493" t="n"/>
      <c r="Y182" s="493" t="n"/>
      <c r="Z182" s="493" t="n"/>
      <c r="AA182" s="493" t="n"/>
    </row>
    <row r="183" ht="15.75" customHeight="1" s="408">
      <c r="A183" s="493" t="n"/>
      <c r="B183" s="493" t="n"/>
      <c r="C183" s="493" t="n"/>
      <c r="D183" s="493" t="n"/>
      <c r="E183" s="493" t="n"/>
      <c r="F183" s="493" t="n"/>
      <c r="G183" s="493" t="n"/>
      <c r="H183" s="493" t="n"/>
      <c r="I183" s="493" t="n"/>
      <c r="J183" s="493" t="n"/>
      <c r="K183" s="493" t="n"/>
      <c r="L183" s="493" t="n"/>
      <c r="M183" s="493" t="n"/>
      <c r="N183" s="493" t="n"/>
      <c r="O183" s="493" t="n"/>
      <c r="P183" s="493" t="n"/>
      <c r="Q183" s="493" t="n"/>
      <c r="R183" s="493" t="n"/>
      <c r="S183" s="493" t="n"/>
      <c r="T183" s="493" t="n"/>
      <c r="U183" s="493" t="n"/>
      <c r="V183" s="493" t="n"/>
      <c r="W183" s="493" t="n"/>
      <c r="X183" s="493" t="n"/>
      <c r="Y183" s="493" t="n"/>
      <c r="Z183" s="493" t="n"/>
      <c r="AA183" s="493" t="n"/>
    </row>
    <row r="184" ht="15.75" customHeight="1" s="408">
      <c r="A184" s="493" t="n"/>
      <c r="B184" s="493" t="n"/>
      <c r="C184" s="493" t="n"/>
      <c r="D184" s="493" t="n"/>
      <c r="E184" s="493" t="n"/>
      <c r="F184" s="493" t="n"/>
      <c r="G184" s="493" t="n"/>
      <c r="H184" s="493" t="n"/>
      <c r="I184" s="493" t="n"/>
      <c r="J184" s="493" t="n"/>
      <c r="K184" s="493" t="n"/>
      <c r="L184" s="493" t="n"/>
      <c r="M184" s="493" t="n"/>
      <c r="N184" s="493" t="n"/>
      <c r="O184" s="493" t="n"/>
      <c r="P184" s="493" t="n"/>
      <c r="Q184" s="493" t="n"/>
      <c r="R184" s="493" t="n"/>
      <c r="S184" s="493" t="n"/>
      <c r="T184" s="493" t="n"/>
      <c r="U184" s="493" t="n"/>
      <c r="V184" s="493" t="n"/>
      <c r="W184" s="493" t="n"/>
      <c r="X184" s="493" t="n"/>
      <c r="Y184" s="493" t="n"/>
      <c r="Z184" s="493" t="n"/>
      <c r="AA184" s="493" t="n"/>
    </row>
    <row r="185" ht="15.75" customHeight="1" s="408">
      <c r="A185" s="493" t="n"/>
      <c r="B185" s="493" t="n"/>
      <c r="C185" s="493" t="n"/>
      <c r="D185" s="493" t="n"/>
      <c r="E185" s="493" t="n"/>
      <c r="F185" s="493" t="n"/>
      <c r="G185" s="493" t="n"/>
      <c r="H185" s="493" t="n"/>
      <c r="I185" s="493" t="n"/>
      <c r="J185" s="493" t="n"/>
      <c r="K185" s="493" t="n"/>
      <c r="L185" s="493" t="n"/>
      <c r="M185" s="493" t="n"/>
      <c r="N185" s="493" t="n"/>
      <c r="O185" s="493" t="n"/>
      <c r="P185" s="493" t="n"/>
      <c r="Q185" s="493" t="n"/>
      <c r="R185" s="493" t="n"/>
      <c r="S185" s="493" t="n"/>
      <c r="T185" s="493" t="n"/>
      <c r="U185" s="493" t="n"/>
      <c r="V185" s="493" t="n"/>
      <c r="W185" s="493" t="n"/>
      <c r="X185" s="493" t="n"/>
      <c r="Y185" s="493" t="n"/>
      <c r="Z185" s="493" t="n"/>
      <c r="AA185" s="493" t="n"/>
    </row>
    <row r="186" ht="15.75" customHeight="1" s="408">
      <c r="A186" s="493" t="n"/>
      <c r="B186" s="493" t="n"/>
      <c r="C186" s="493" t="n"/>
      <c r="D186" s="493" t="n"/>
      <c r="E186" s="493" t="n"/>
      <c r="F186" s="493" t="n"/>
      <c r="G186" s="493" t="n"/>
      <c r="H186" s="493" t="n"/>
      <c r="I186" s="493" t="n"/>
      <c r="J186" s="493" t="n"/>
      <c r="K186" s="493" t="n"/>
      <c r="L186" s="493" t="n"/>
      <c r="M186" s="493" t="n"/>
      <c r="N186" s="493" t="n"/>
      <c r="O186" s="493" t="n"/>
      <c r="P186" s="493" t="n"/>
      <c r="Q186" s="493" t="n"/>
      <c r="R186" s="493" t="n"/>
      <c r="S186" s="493" t="n"/>
      <c r="T186" s="493" t="n"/>
      <c r="U186" s="493" t="n"/>
      <c r="V186" s="493" t="n"/>
      <c r="W186" s="493" t="n"/>
      <c r="X186" s="493" t="n"/>
      <c r="Y186" s="493" t="n"/>
      <c r="Z186" s="493" t="n"/>
      <c r="AA186" s="493" t="n"/>
    </row>
    <row r="187" ht="15.75" customHeight="1" s="408">
      <c r="A187" s="493" t="n"/>
      <c r="B187" s="493" t="n"/>
      <c r="C187" s="493" t="n"/>
      <c r="D187" s="493" t="n"/>
      <c r="E187" s="493" t="n"/>
      <c r="F187" s="493" t="n"/>
      <c r="G187" s="493" t="n"/>
      <c r="H187" s="493" t="n"/>
      <c r="I187" s="493" t="n"/>
      <c r="J187" s="493" t="n"/>
      <c r="K187" s="493" t="n"/>
      <c r="L187" s="493" t="n"/>
      <c r="M187" s="493" t="n"/>
      <c r="N187" s="493" t="n"/>
      <c r="O187" s="493" t="n"/>
      <c r="P187" s="493" t="n"/>
      <c r="Q187" s="493" t="n"/>
      <c r="R187" s="493" t="n"/>
      <c r="S187" s="493" t="n"/>
      <c r="T187" s="493" t="n"/>
      <c r="U187" s="493" t="n"/>
      <c r="V187" s="493" t="n"/>
      <c r="W187" s="493" t="n"/>
      <c r="X187" s="493" t="n"/>
      <c r="Y187" s="493" t="n"/>
      <c r="Z187" s="493" t="n"/>
      <c r="AA187" s="493" t="n"/>
    </row>
    <row r="188" ht="15.75" customHeight="1" s="408">
      <c r="A188" s="493" t="n"/>
      <c r="B188" s="493" t="n"/>
      <c r="C188" s="493" t="n"/>
      <c r="D188" s="493" t="n"/>
      <c r="E188" s="493" t="n"/>
      <c r="F188" s="493" t="n"/>
      <c r="G188" s="493" t="n"/>
      <c r="H188" s="493" t="n"/>
      <c r="I188" s="493" t="n"/>
      <c r="J188" s="493" t="n"/>
      <c r="K188" s="493" t="n"/>
      <c r="L188" s="493" t="n"/>
      <c r="M188" s="493" t="n"/>
      <c r="N188" s="493" t="n"/>
      <c r="O188" s="493" t="n"/>
      <c r="P188" s="493" t="n"/>
      <c r="Q188" s="493" t="n"/>
      <c r="R188" s="493" t="n"/>
      <c r="S188" s="493" t="n"/>
      <c r="T188" s="493" t="n"/>
      <c r="U188" s="493" t="n"/>
      <c r="V188" s="493" t="n"/>
      <c r="W188" s="493" t="n"/>
      <c r="X188" s="493" t="n"/>
      <c r="Y188" s="493" t="n"/>
      <c r="Z188" s="493" t="n"/>
      <c r="AA188" s="493" t="n"/>
    </row>
    <row r="189" ht="15.75" customHeight="1" s="408">
      <c r="A189" s="493" t="n"/>
      <c r="B189" s="493" t="n"/>
      <c r="C189" s="493" t="n"/>
      <c r="D189" s="493" t="n"/>
      <c r="E189" s="493" t="n"/>
      <c r="F189" s="493" t="n"/>
      <c r="G189" s="493" t="n"/>
      <c r="H189" s="493" t="n"/>
      <c r="I189" s="493" t="n"/>
      <c r="J189" s="493" t="n"/>
      <c r="K189" s="493" t="n"/>
      <c r="L189" s="493" t="n"/>
      <c r="M189" s="493" t="n"/>
      <c r="N189" s="493" t="n"/>
      <c r="O189" s="493" t="n"/>
      <c r="P189" s="493" t="n"/>
      <c r="Q189" s="493" t="n"/>
      <c r="R189" s="493" t="n"/>
      <c r="S189" s="493" t="n"/>
      <c r="T189" s="493" t="n"/>
      <c r="U189" s="493" t="n"/>
      <c r="V189" s="493" t="n"/>
      <c r="W189" s="493" t="n"/>
      <c r="X189" s="493" t="n"/>
      <c r="Y189" s="493" t="n"/>
      <c r="Z189" s="493" t="n"/>
      <c r="AA189" s="493" t="n"/>
    </row>
    <row r="190" ht="15.75" customHeight="1" s="408">
      <c r="A190" s="493" t="n"/>
      <c r="B190" s="493" t="n"/>
      <c r="C190" s="493" t="n"/>
      <c r="D190" s="493" t="n"/>
      <c r="E190" s="493" t="n"/>
      <c r="F190" s="493" t="n"/>
      <c r="G190" s="493" t="n"/>
      <c r="H190" s="493" t="n"/>
      <c r="I190" s="493" t="n"/>
      <c r="J190" s="493" t="n"/>
      <c r="K190" s="493" t="n"/>
      <c r="L190" s="493" t="n"/>
      <c r="M190" s="493" t="n"/>
      <c r="N190" s="493" t="n"/>
      <c r="O190" s="493" t="n"/>
      <c r="P190" s="493" t="n"/>
      <c r="Q190" s="493" t="n"/>
      <c r="R190" s="493" t="n"/>
      <c r="S190" s="493" t="n"/>
      <c r="T190" s="493" t="n"/>
      <c r="U190" s="493" t="n"/>
      <c r="V190" s="493" t="n"/>
      <c r="W190" s="493" t="n"/>
      <c r="X190" s="493" t="n"/>
      <c r="Y190" s="493" t="n"/>
      <c r="Z190" s="493" t="n"/>
      <c r="AA190" s="493" t="n"/>
    </row>
    <row r="191" ht="15.75" customHeight="1" s="408">
      <c r="A191" s="493" t="n"/>
      <c r="B191" s="493" t="n"/>
      <c r="C191" s="493" t="n"/>
      <c r="D191" s="493" t="n"/>
      <c r="E191" s="493" t="n"/>
      <c r="F191" s="493" t="n"/>
      <c r="G191" s="493" t="n"/>
      <c r="H191" s="493" t="n"/>
      <c r="I191" s="493" t="n"/>
      <c r="J191" s="493" t="n"/>
      <c r="K191" s="493" t="n"/>
      <c r="L191" s="493" t="n"/>
      <c r="M191" s="493" t="n"/>
      <c r="N191" s="493" t="n"/>
      <c r="O191" s="493" t="n"/>
      <c r="P191" s="493" t="n"/>
      <c r="Q191" s="493" t="n"/>
      <c r="R191" s="493" t="n"/>
      <c r="S191" s="493" t="n"/>
      <c r="T191" s="493" t="n"/>
      <c r="U191" s="493" t="n"/>
      <c r="V191" s="493" t="n"/>
      <c r="W191" s="493" t="n"/>
      <c r="X191" s="493" t="n"/>
      <c r="Y191" s="493" t="n"/>
      <c r="Z191" s="493" t="n"/>
      <c r="AA191" s="493" t="n"/>
    </row>
    <row r="192" ht="15.75" customHeight="1" s="408">
      <c r="A192" s="493" t="n"/>
      <c r="B192" s="493" t="n"/>
      <c r="C192" s="493" t="n"/>
      <c r="D192" s="493" t="n"/>
      <c r="E192" s="493" t="n"/>
      <c r="F192" s="493" t="n"/>
      <c r="G192" s="493" t="n"/>
      <c r="H192" s="493" t="n"/>
      <c r="I192" s="493" t="n"/>
      <c r="J192" s="493" t="n"/>
      <c r="K192" s="493" t="n"/>
      <c r="L192" s="493" t="n"/>
      <c r="M192" s="493" t="n"/>
      <c r="N192" s="493" t="n"/>
      <c r="O192" s="493" t="n"/>
      <c r="P192" s="493" t="n"/>
      <c r="Q192" s="493" t="n"/>
      <c r="R192" s="493" t="n"/>
      <c r="S192" s="493" t="n"/>
      <c r="T192" s="493" t="n"/>
      <c r="U192" s="493" t="n"/>
      <c r="V192" s="493" t="n"/>
      <c r="W192" s="493" t="n"/>
      <c r="X192" s="493" t="n"/>
      <c r="Y192" s="493" t="n"/>
      <c r="Z192" s="493" t="n"/>
      <c r="AA192" s="493" t="n"/>
    </row>
    <row r="193" ht="15.75" customHeight="1" s="408">
      <c r="A193" s="493" t="n"/>
      <c r="B193" s="493" t="n"/>
      <c r="C193" s="493" t="n"/>
      <c r="D193" s="493" t="n"/>
      <c r="E193" s="493" t="n"/>
      <c r="F193" s="493" t="n"/>
      <c r="G193" s="493" t="n"/>
      <c r="H193" s="493" t="n"/>
      <c r="I193" s="493" t="n"/>
      <c r="J193" s="493" t="n"/>
      <c r="K193" s="493" t="n"/>
      <c r="L193" s="493" t="n"/>
      <c r="M193" s="493" t="n"/>
      <c r="N193" s="493" t="n"/>
      <c r="O193" s="493" t="n"/>
      <c r="P193" s="493" t="n"/>
      <c r="Q193" s="493" t="n"/>
      <c r="R193" s="493" t="n"/>
      <c r="S193" s="493" t="n"/>
      <c r="T193" s="493" t="n"/>
      <c r="U193" s="493" t="n"/>
      <c r="V193" s="493" t="n"/>
      <c r="W193" s="493" t="n"/>
      <c r="X193" s="493" t="n"/>
      <c r="Y193" s="493" t="n"/>
      <c r="Z193" s="493" t="n"/>
      <c r="AA193" s="493" t="n"/>
    </row>
    <row r="194" ht="15.75" customHeight="1" s="408">
      <c r="A194" s="493" t="n"/>
      <c r="B194" s="493" t="n"/>
      <c r="C194" s="493" t="n"/>
      <c r="D194" s="493" t="n"/>
      <c r="E194" s="493" t="n"/>
      <c r="F194" s="493" t="n"/>
      <c r="G194" s="493" t="n"/>
      <c r="H194" s="493" t="n"/>
      <c r="I194" s="493" t="n"/>
      <c r="J194" s="493" t="n"/>
      <c r="K194" s="493" t="n"/>
      <c r="L194" s="493" t="n"/>
      <c r="M194" s="493" t="n"/>
      <c r="N194" s="493" t="n"/>
      <c r="O194" s="493" t="n"/>
      <c r="P194" s="493" t="n"/>
      <c r="Q194" s="493" t="n"/>
      <c r="R194" s="493" t="n"/>
      <c r="S194" s="493" t="n"/>
      <c r="T194" s="493" t="n"/>
      <c r="U194" s="493" t="n"/>
      <c r="V194" s="493" t="n"/>
      <c r="W194" s="493" t="n"/>
      <c r="X194" s="493" t="n"/>
      <c r="Y194" s="493" t="n"/>
      <c r="Z194" s="493" t="n"/>
      <c r="AA194" s="493" t="n"/>
    </row>
    <row r="195" ht="15.75" customHeight="1" s="408">
      <c r="A195" s="493" t="n"/>
      <c r="B195" s="493" t="n"/>
      <c r="C195" s="493" t="n"/>
      <c r="D195" s="493" t="n"/>
      <c r="E195" s="493" t="n"/>
      <c r="F195" s="493" t="n"/>
      <c r="G195" s="493" t="n"/>
      <c r="H195" s="493" t="n"/>
      <c r="I195" s="493" t="n"/>
      <c r="J195" s="493" t="n"/>
      <c r="K195" s="493" t="n"/>
      <c r="L195" s="493" t="n"/>
      <c r="M195" s="493" t="n"/>
      <c r="N195" s="493" t="n"/>
      <c r="O195" s="493" t="n"/>
      <c r="P195" s="493" t="n"/>
      <c r="Q195" s="493" t="n"/>
      <c r="R195" s="493" t="n"/>
      <c r="S195" s="493" t="n"/>
      <c r="T195" s="493" t="n"/>
      <c r="U195" s="493" t="n"/>
      <c r="V195" s="493" t="n"/>
      <c r="W195" s="493" t="n"/>
      <c r="X195" s="493" t="n"/>
      <c r="Y195" s="493" t="n"/>
      <c r="Z195" s="493" t="n"/>
      <c r="AA195" s="493" t="n"/>
    </row>
    <row r="196" ht="15.75" customHeight="1" s="408">
      <c r="A196" s="493" t="n"/>
      <c r="B196" s="493" t="n"/>
      <c r="C196" s="493" t="n"/>
      <c r="D196" s="493" t="n"/>
      <c r="E196" s="493" t="n"/>
      <c r="F196" s="493" t="n"/>
      <c r="G196" s="493" t="n"/>
      <c r="H196" s="493" t="n"/>
      <c r="I196" s="493" t="n"/>
      <c r="J196" s="493" t="n"/>
      <c r="K196" s="493" t="n"/>
      <c r="L196" s="493" t="n"/>
      <c r="M196" s="493" t="n"/>
      <c r="N196" s="493" t="n"/>
      <c r="O196" s="493" t="n"/>
      <c r="P196" s="493" t="n"/>
      <c r="Q196" s="493" t="n"/>
      <c r="R196" s="493" t="n"/>
      <c r="S196" s="493" t="n"/>
      <c r="T196" s="493" t="n"/>
      <c r="U196" s="493" t="n"/>
      <c r="V196" s="493" t="n"/>
      <c r="W196" s="493" t="n"/>
      <c r="X196" s="493" t="n"/>
      <c r="Y196" s="493" t="n"/>
      <c r="Z196" s="493" t="n"/>
      <c r="AA196" s="493" t="n"/>
    </row>
    <row r="197" ht="15.75" customHeight="1" s="408">
      <c r="A197" s="493" t="n"/>
      <c r="B197" s="493" t="n"/>
      <c r="C197" s="493" t="n"/>
      <c r="D197" s="493" t="n"/>
      <c r="E197" s="493" t="n"/>
      <c r="F197" s="493" t="n"/>
      <c r="G197" s="493" t="n"/>
      <c r="H197" s="493" t="n"/>
      <c r="I197" s="493" t="n"/>
      <c r="J197" s="493" t="n"/>
      <c r="K197" s="493" t="n"/>
      <c r="L197" s="493" t="n"/>
      <c r="M197" s="493" t="n"/>
      <c r="N197" s="493" t="n"/>
      <c r="O197" s="493" t="n"/>
      <c r="P197" s="493" t="n"/>
      <c r="Q197" s="493" t="n"/>
      <c r="R197" s="493" t="n"/>
      <c r="S197" s="493" t="n"/>
      <c r="T197" s="493" t="n"/>
      <c r="U197" s="493" t="n"/>
      <c r="V197" s="493" t="n"/>
      <c r="W197" s="493" t="n"/>
      <c r="X197" s="493" t="n"/>
      <c r="Y197" s="493" t="n"/>
      <c r="Z197" s="493" t="n"/>
      <c r="AA197" s="493" t="n"/>
    </row>
    <row r="198" ht="15.75" customHeight="1" s="408">
      <c r="A198" s="493" t="n"/>
      <c r="B198" s="493" t="n"/>
      <c r="C198" s="493" t="n"/>
      <c r="D198" s="493" t="n"/>
      <c r="E198" s="493" t="n"/>
      <c r="F198" s="493" t="n"/>
      <c r="G198" s="493" t="n"/>
      <c r="H198" s="493" t="n"/>
      <c r="I198" s="493" t="n"/>
      <c r="J198" s="493" t="n"/>
      <c r="K198" s="493" t="n"/>
      <c r="L198" s="493" t="n"/>
      <c r="M198" s="493" t="n"/>
      <c r="N198" s="493" t="n"/>
      <c r="O198" s="493" t="n"/>
      <c r="P198" s="493" t="n"/>
      <c r="Q198" s="493" t="n"/>
      <c r="R198" s="493" t="n"/>
      <c r="S198" s="493" t="n"/>
      <c r="T198" s="493" t="n"/>
      <c r="U198" s="493" t="n"/>
      <c r="V198" s="493" t="n"/>
      <c r="W198" s="493" t="n"/>
      <c r="X198" s="493" t="n"/>
      <c r="Y198" s="493" t="n"/>
      <c r="Z198" s="493" t="n"/>
      <c r="AA198" s="493" t="n"/>
    </row>
    <row r="199" ht="15.75" customHeight="1" s="408">
      <c r="A199" s="493" t="n"/>
      <c r="B199" s="493" t="n"/>
      <c r="C199" s="493" t="n"/>
      <c r="D199" s="493" t="n"/>
      <c r="E199" s="493" t="n"/>
      <c r="F199" s="493" t="n"/>
      <c r="G199" s="493" t="n"/>
      <c r="H199" s="493" t="n"/>
      <c r="I199" s="493" t="n"/>
      <c r="J199" s="493" t="n"/>
      <c r="K199" s="493" t="n"/>
      <c r="L199" s="493" t="n"/>
      <c r="M199" s="493" t="n"/>
      <c r="N199" s="493" t="n"/>
      <c r="O199" s="493" t="n"/>
      <c r="P199" s="493" t="n"/>
      <c r="Q199" s="493" t="n"/>
      <c r="R199" s="493" t="n"/>
      <c r="S199" s="493" t="n"/>
      <c r="T199" s="493" t="n"/>
      <c r="U199" s="493" t="n"/>
      <c r="V199" s="493" t="n"/>
      <c r="W199" s="493" t="n"/>
      <c r="X199" s="493" t="n"/>
      <c r="Y199" s="493" t="n"/>
      <c r="Z199" s="493" t="n"/>
      <c r="AA199" s="493" t="n"/>
    </row>
    <row r="200" ht="15.75" customHeight="1" s="408">
      <c r="A200" s="493" t="n"/>
      <c r="B200" s="493" t="n"/>
      <c r="C200" s="493" t="n"/>
      <c r="D200" s="493" t="n"/>
      <c r="E200" s="493" t="n"/>
      <c r="F200" s="493" t="n"/>
      <c r="G200" s="493" t="n"/>
      <c r="H200" s="493" t="n"/>
      <c r="I200" s="493" t="n"/>
      <c r="J200" s="493" t="n"/>
      <c r="K200" s="493" t="n"/>
      <c r="L200" s="493" t="n"/>
      <c r="M200" s="493" t="n"/>
      <c r="N200" s="493" t="n"/>
      <c r="O200" s="493" t="n"/>
      <c r="P200" s="493" t="n"/>
      <c r="Q200" s="493" t="n"/>
      <c r="R200" s="493" t="n"/>
      <c r="S200" s="493" t="n"/>
      <c r="T200" s="493" t="n"/>
      <c r="U200" s="493" t="n"/>
      <c r="V200" s="493" t="n"/>
      <c r="W200" s="493" t="n"/>
      <c r="X200" s="493" t="n"/>
      <c r="Y200" s="493" t="n"/>
      <c r="Z200" s="493" t="n"/>
      <c r="AA200" s="493" t="n"/>
    </row>
    <row r="201" ht="15.75" customHeight="1" s="408">
      <c r="A201" s="493" t="n"/>
      <c r="B201" s="493" t="n"/>
      <c r="C201" s="493" t="n"/>
      <c r="D201" s="493" t="n"/>
      <c r="E201" s="493" t="n"/>
      <c r="F201" s="493" t="n"/>
      <c r="G201" s="493" t="n"/>
      <c r="H201" s="493" t="n"/>
      <c r="I201" s="493" t="n"/>
      <c r="J201" s="493" t="n"/>
      <c r="K201" s="493" t="n"/>
      <c r="L201" s="493" t="n"/>
      <c r="M201" s="493" t="n"/>
      <c r="N201" s="493" t="n"/>
      <c r="O201" s="493" t="n"/>
      <c r="P201" s="493" t="n"/>
      <c r="Q201" s="493" t="n"/>
      <c r="R201" s="493" t="n"/>
      <c r="S201" s="493" t="n"/>
      <c r="T201" s="493" t="n"/>
      <c r="U201" s="493" t="n"/>
      <c r="V201" s="493" t="n"/>
      <c r="W201" s="493" t="n"/>
      <c r="X201" s="493" t="n"/>
      <c r="Y201" s="493" t="n"/>
      <c r="Z201" s="493" t="n"/>
      <c r="AA201" s="493" t="n"/>
    </row>
    <row r="202" ht="15.75" customHeight="1" s="408">
      <c r="A202" s="493" t="n"/>
      <c r="B202" s="493" t="n"/>
      <c r="C202" s="493" t="n"/>
      <c r="D202" s="493" t="n"/>
      <c r="E202" s="493" t="n"/>
      <c r="F202" s="493" t="n"/>
      <c r="G202" s="493" t="n"/>
      <c r="H202" s="493" t="n"/>
      <c r="I202" s="493" t="n"/>
      <c r="J202" s="493" t="n"/>
      <c r="K202" s="493" t="n"/>
      <c r="L202" s="493" t="n"/>
      <c r="M202" s="493" t="n"/>
      <c r="N202" s="493" t="n"/>
      <c r="O202" s="493" t="n"/>
      <c r="P202" s="493" t="n"/>
      <c r="Q202" s="493" t="n"/>
      <c r="R202" s="493" t="n"/>
      <c r="S202" s="493" t="n"/>
      <c r="T202" s="493" t="n"/>
      <c r="U202" s="493" t="n"/>
      <c r="V202" s="493" t="n"/>
      <c r="W202" s="493" t="n"/>
      <c r="X202" s="493" t="n"/>
      <c r="Y202" s="493" t="n"/>
      <c r="Z202" s="493" t="n"/>
      <c r="AA202" s="493" t="n"/>
    </row>
    <row r="203" ht="15.75" customHeight="1" s="408">
      <c r="A203" s="493" t="n"/>
      <c r="B203" s="493" t="n"/>
      <c r="C203" s="493" t="n"/>
      <c r="D203" s="493" t="n"/>
      <c r="E203" s="493" t="n"/>
      <c r="F203" s="493" t="n"/>
      <c r="G203" s="493" t="n"/>
      <c r="H203" s="493" t="n"/>
      <c r="I203" s="493" t="n"/>
      <c r="J203" s="493" t="n"/>
      <c r="K203" s="493" t="n"/>
      <c r="L203" s="493" t="n"/>
      <c r="M203" s="493" t="n"/>
      <c r="N203" s="493" t="n"/>
      <c r="O203" s="493" t="n"/>
      <c r="P203" s="493" t="n"/>
      <c r="Q203" s="493" t="n"/>
      <c r="R203" s="493" t="n"/>
      <c r="S203" s="493" t="n"/>
      <c r="T203" s="493" t="n"/>
      <c r="U203" s="493" t="n"/>
      <c r="V203" s="493" t="n"/>
      <c r="W203" s="493" t="n"/>
      <c r="X203" s="493" t="n"/>
      <c r="Y203" s="493" t="n"/>
      <c r="Z203" s="493" t="n"/>
      <c r="AA203" s="493" t="n"/>
    </row>
    <row r="204" ht="15.75" customHeight="1" s="408">
      <c r="A204" s="493" t="n"/>
      <c r="B204" s="493" t="n"/>
      <c r="C204" s="493" t="n"/>
      <c r="D204" s="493" t="n"/>
      <c r="E204" s="493" t="n"/>
      <c r="F204" s="493" t="n"/>
      <c r="G204" s="493" t="n"/>
      <c r="H204" s="493" t="n"/>
      <c r="I204" s="493" t="n"/>
      <c r="J204" s="493" t="n"/>
      <c r="K204" s="493" t="n"/>
      <c r="L204" s="493" t="n"/>
      <c r="M204" s="493" t="n"/>
      <c r="N204" s="493" t="n"/>
      <c r="O204" s="493" t="n"/>
      <c r="P204" s="493" t="n"/>
      <c r="Q204" s="493" t="n"/>
      <c r="R204" s="493" t="n"/>
      <c r="S204" s="493" t="n"/>
      <c r="T204" s="493" t="n"/>
      <c r="U204" s="493" t="n"/>
      <c r="V204" s="493" t="n"/>
      <c r="W204" s="493" t="n"/>
      <c r="X204" s="493" t="n"/>
      <c r="Y204" s="493" t="n"/>
      <c r="Z204" s="493" t="n"/>
      <c r="AA204" s="493" t="n"/>
    </row>
    <row r="205" ht="15.75" customHeight="1" s="408">
      <c r="A205" s="493" t="n"/>
      <c r="B205" s="493" t="n"/>
      <c r="C205" s="493" t="n"/>
      <c r="D205" s="493" t="n"/>
      <c r="E205" s="493" t="n"/>
      <c r="F205" s="493" t="n"/>
      <c r="G205" s="493" t="n"/>
      <c r="H205" s="493" t="n"/>
      <c r="I205" s="493" t="n"/>
      <c r="J205" s="493" t="n"/>
      <c r="K205" s="493" t="n"/>
      <c r="L205" s="493" t="n"/>
      <c r="M205" s="493" t="n"/>
      <c r="N205" s="493" t="n"/>
      <c r="O205" s="493" t="n"/>
      <c r="P205" s="493" t="n"/>
      <c r="Q205" s="493" t="n"/>
      <c r="R205" s="493" t="n"/>
      <c r="S205" s="493" t="n"/>
      <c r="T205" s="493" t="n"/>
      <c r="U205" s="493" t="n"/>
      <c r="V205" s="493" t="n"/>
      <c r="W205" s="493" t="n"/>
      <c r="X205" s="493" t="n"/>
      <c r="Y205" s="493" t="n"/>
      <c r="Z205" s="493" t="n"/>
      <c r="AA205" s="493" t="n"/>
    </row>
    <row r="206" ht="15.75" customHeight="1" s="408">
      <c r="A206" s="493" t="n"/>
      <c r="B206" s="493" t="n"/>
      <c r="C206" s="493" t="n"/>
      <c r="D206" s="493" t="n"/>
      <c r="E206" s="493" t="n"/>
      <c r="F206" s="493" t="n"/>
      <c r="G206" s="493" t="n"/>
      <c r="H206" s="493" t="n"/>
      <c r="I206" s="493" t="n"/>
      <c r="J206" s="493" t="n"/>
      <c r="K206" s="493" t="n"/>
      <c r="L206" s="493" t="n"/>
      <c r="M206" s="493" t="n"/>
      <c r="N206" s="493" t="n"/>
      <c r="O206" s="493" t="n"/>
      <c r="P206" s="493" t="n"/>
      <c r="Q206" s="493" t="n"/>
      <c r="R206" s="493" t="n"/>
      <c r="S206" s="493" t="n"/>
      <c r="T206" s="493" t="n"/>
      <c r="U206" s="493" t="n"/>
      <c r="V206" s="493" t="n"/>
      <c r="W206" s="493" t="n"/>
      <c r="X206" s="493" t="n"/>
      <c r="Y206" s="493" t="n"/>
      <c r="Z206" s="493" t="n"/>
      <c r="AA206" s="493" t="n"/>
    </row>
    <row r="207" ht="15.75" customHeight="1" s="408">
      <c r="A207" s="493" t="n"/>
      <c r="B207" s="493" t="n"/>
      <c r="C207" s="493" t="n"/>
      <c r="D207" s="493" t="n"/>
      <c r="E207" s="493" t="n"/>
      <c r="F207" s="493" t="n"/>
      <c r="G207" s="493" t="n"/>
      <c r="H207" s="493" t="n"/>
      <c r="I207" s="493" t="n"/>
      <c r="J207" s="493" t="n"/>
      <c r="K207" s="493" t="n"/>
      <c r="L207" s="493" t="n"/>
      <c r="M207" s="493" t="n"/>
      <c r="N207" s="493" t="n"/>
      <c r="O207" s="493" t="n"/>
      <c r="P207" s="493" t="n"/>
      <c r="Q207" s="493" t="n"/>
      <c r="R207" s="493" t="n"/>
      <c r="S207" s="493" t="n"/>
      <c r="T207" s="493" t="n"/>
      <c r="U207" s="493" t="n"/>
      <c r="V207" s="493" t="n"/>
      <c r="W207" s="493" t="n"/>
      <c r="X207" s="493" t="n"/>
      <c r="Y207" s="493" t="n"/>
      <c r="Z207" s="493" t="n"/>
      <c r="AA207" s="493" t="n"/>
    </row>
    <row r="208" ht="15.75" customHeight="1" s="408">
      <c r="A208" s="493" t="n"/>
      <c r="B208" s="493" t="n"/>
      <c r="C208" s="493" t="n"/>
      <c r="D208" s="493" t="n"/>
      <c r="E208" s="493" t="n"/>
      <c r="F208" s="493" t="n"/>
      <c r="G208" s="493" t="n"/>
      <c r="H208" s="493" t="n"/>
      <c r="I208" s="493" t="n"/>
      <c r="J208" s="493" t="n"/>
      <c r="K208" s="493" t="n"/>
      <c r="L208" s="493" t="n"/>
      <c r="M208" s="493" t="n"/>
      <c r="N208" s="493" t="n"/>
      <c r="O208" s="493" t="n"/>
      <c r="P208" s="493" t="n"/>
      <c r="Q208" s="493" t="n"/>
      <c r="R208" s="493" t="n"/>
      <c r="S208" s="493" t="n"/>
      <c r="T208" s="493" t="n"/>
      <c r="U208" s="493" t="n"/>
      <c r="V208" s="493" t="n"/>
      <c r="W208" s="493" t="n"/>
      <c r="X208" s="493" t="n"/>
      <c r="Y208" s="493" t="n"/>
      <c r="Z208" s="493" t="n"/>
      <c r="AA208" s="493" t="n"/>
    </row>
    <row r="209" ht="15.75" customHeight="1" s="408">
      <c r="A209" s="493" t="n"/>
      <c r="B209" s="493" t="n"/>
      <c r="C209" s="493" t="n"/>
      <c r="D209" s="493" t="n"/>
      <c r="E209" s="493" t="n"/>
      <c r="F209" s="493" t="n"/>
      <c r="G209" s="493" t="n"/>
      <c r="H209" s="493" t="n"/>
      <c r="I209" s="493" t="n"/>
      <c r="J209" s="493" t="n"/>
      <c r="K209" s="493" t="n"/>
      <c r="L209" s="493" t="n"/>
      <c r="M209" s="493" t="n"/>
      <c r="N209" s="493" t="n"/>
      <c r="O209" s="493" t="n"/>
      <c r="P209" s="493" t="n"/>
      <c r="Q209" s="493" t="n"/>
      <c r="R209" s="493" t="n"/>
      <c r="S209" s="493" t="n"/>
      <c r="T209" s="493" t="n"/>
      <c r="U209" s="493" t="n"/>
      <c r="V209" s="493" t="n"/>
      <c r="W209" s="493" t="n"/>
      <c r="X209" s="493" t="n"/>
      <c r="Y209" s="493" t="n"/>
      <c r="Z209" s="493" t="n"/>
      <c r="AA209" s="493" t="n"/>
    </row>
    <row r="210" ht="15.75" customHeight="1" s="408">
      <c r="A210" s="493" t="n"/>
      <c r="B210" s="493" t="n"/>
      <c r="C210" s="493" t="n"/>
      <c r="D210" s="493" t="n"/>
      <c r="E210" s="493" t="n"/>
      <c r="F210" s="493" t="n"/>
      <c r="G210" s="493" t="n"/>
      <c r="H210" s="493" t="n"/>
      <c r="I210" s="493" t="n"/>
      <c r="J210" s="493" t="n"/>
      <c r="K210" s="493" t="n"/>
      <c r="L210" s="493" t="n"/>
      <c r="M210" s="493" t="n"/>
      <c r="N210" s="493" t="n"/>
      <c r="O210" s="493" t="n"/>
      <c r="P210" s="493" t="n"/>
      <c r="Q210" s="493" t="n"/>
      <c r="R210" s="493" t="n"/>
      <c r="S210" s="493" t="n"/>
      <c r="T210" s="493" t="n"/>
      <c r="U210" s="493" t="n"/>
      <c r="V210" s="493" t="n"/>
      <c r="W210" s="493" t="n"/>
      <c r="X210" s="493" t="n"/>
      <c r="Y210" s="493" t="n"/>
      <c r="Z210" s="493" t="n"/>
      <c r="AA210" s="493" t="n"/>
    </row>
    <row r="211" ht="15.75" customHeight="1" s="408">
      <c r="A211" s="493" t="n"/>
      <c r="B211" s="493" t="n"/>
      <c r="C211" s="493" t="n"/>
      <c r="D211" s="493" t="n"/>
      <c r="E211" s="493" t="n"/>
      <c r="F211" s="493" t="n"/>
      <c r="G211" s="493" t="n"/>
      <c r="H211" s="493" t="n"/>
      <c r="I211" s="493" t="n"/>
      <c r="J211" s="493" t="n"/>
      <c r="K211" s="493" t="n"/>
      <c r="L211" s="493" t="n"/>
      <c r="M211" s="493" t="n"/>
      <c r="N211" s="493" t="n"/>
      <c r="O211" s="493" t="n"/>
      <c r="P211" s="493" t="n"/>
      <c r="Q211" s="493" t="n"/>
      <c r="R211" s="493" t="n"/>
      <c r="S211" s="493" t="n"/>
      <c r="T211" s="493" t="n"/>
      <c r="U211" s="493" t="n"/>
      <c r="V211" s="493" t="n"/>
      <c r="W211" s="493" t="n"/>
      <c r="X211" s="493" t="n"/>
      <c r="Y211" s="493" t="n"/>
      <c r="Z211" s="493" t="n"/>
      <c r="AA211" s="493" t="n"/>
    </row>
    <row r="212" ht="15.75" customHeight="1" s="408">
      <c r="A212" s="493" t="n"/>
      <c r="B212" s="493" t="n"/>
      <c r="C212" s="493" t="n"/>
      <c r="D212" s="493" t="n"/>
      <c r="E212" s="493" t="n"/>
      <c r="F212" s="493" t="n"/>
      <c r="G212" s="493" t="n"/>
      <c r="H212" s="493" t="n"/>
      <c r="I212" s="493" t="n"/>
      <c r="J212" s="493" t="n"/>
      <c r="K212" s="493" t="n"/>
      <c r="L212" s="493" t="n"/>
      <c r="M212" s="493" t="n"/>
      <c r="N212" s="493" t="n"/>
      <c r="O212" s="493" t="n"/>
      <c r="P212" s="493" t="n"/>
      <c r="Q212" s="493" t="n"/>
      <c r="R212" s="493" t="n"/>
      <c r="S212" s="493" t="n"/>
      <c r="T212" s="493" t="n"/>
      <c r="U212" s="493" t="n"/>
      <c r="V212" s="493" t="n"/>
      <c r="W212" s="493" t="n"/>
      <c r="X212" s="493" t="n"/>
      <c r="Y212" s="493" t="n"/>
      <c r="Z212" s="493" t="n"/>
      <c r="AA212" s="493" t="n"/>
    </row>
    <row r="213" ht="15.75" customHeight="1" s="408">
      <c r="A213" s="493" t="n"/>
      <c r="B213" s="493" t="n"/>
      <c r="C213" s="493" t="n"/>
      <c r="D213" s="493" t="n"/>
      <c r="E213" s="493" t="n"/>
      <c r="F213" s="493" t="n"/>
      <c r="G213" s="493" t="n"/>
      <c r="H213" s="493" t="n"/>
      <c r="I213" s="493" t="n"/>
      <c r="J213" s="493" t="n"/>
      <c r="K213" s="493" t="n"/>
      <c r="L213" s="493" t="n"/>
      <c r="M213" s="493" t="n"/>
      <c r="N213" s="493" t="n"/>
      <c r="O213" s="493" t="n"/>
      <c r="P213" s="493" t="n"/>
      <c r="Q213" s="493" t="n"/>
      <c r="R213" s="493" t="n"/>
      <c r="S213" s="493" t="n"/>
      <c r="T213" s="493" t="n"/>
      <c r="U213" s="493" t="n"/>
      <c r="V213" s="493" t="n"/>
      <c r="W213" s="493" t="n"/>
      <c r="X213" s="493" t="n"/>
      <c r="Y213" s="493" t="n"/>
      <c r="Z213" s="493" t="n"/>
      <c r="AA213" s="493" t="n"/>
    </row>
    <row r="214" ht="15.75" customHeight="1" s="408">
      <c r="A214" s="493" t="n"/>
      <c r="B214" s="493" t="n"/>
      <c r="C214" s="493" t="n"/>
      <c r="D214" s="493" t="n"/>
      <c r="E214" s="493" t="n"/>
      <c r="F214" s="493" t="n"/>
      <c r="G214" s="493" t="n"/>
      <c r="H214" s="493" t="n"/>
      <c r="I214" s="493" t="n"/>
      <c r="J214" s="493" t="n"/>
      <c r="K214" s="493" t="n"/>
      <c r="L214" s="493" t="n"/>
      <c r="M214" s="493" t="n"/>
      <c r="N214" s="493" t="n"/>
      <c r="O214" s="493" t="n"/>
      <c r="P214" s="493" t="n"/>
      <c r="Q214" s="493" t="n"/>
      <c r="R214" s="493" t="n"/>
      <c r="S214" s="493" t="n"/>
      <c r="T214" s="493" t="n"/>
      <c r="U214" s="493" t="n"/>
      <c r="V214" s="493" t="n"/>
      <c r="W214" s="493" t="n"/>
      <c r="X214" s="493" t="n"/>
      <c r="Y214" s="493" t="n"/>
      <c r="Z214" s="493" t="n"/>
      <c r="AA214" s="493" t="n"/>
    </row>
    <row r="215" ht="15.75" customHeight="1" s="408">
      <c r="A215" s="493" t="n"/>
      <c r="B215" s="493" t="n"/>
      <c r="C215" s="493" t="n"/>
      <c r="D215" s="493" t="n"/>
      <c r="E215" s="493" t="n"/>
      <c r="F215" s="493" t="n"/>
      <c r="G215" s="493" t="n"/>
      <c r="H215" s="493" t="n"/>
      <c r="I215" s="493" t="n"/>
      <c r="J215" s="493" t="n"/>
      <c r="K215" s="493" t="n"/>
      <c r="L215" s="493" t="n"/>
      <c r="M215" s="493" t="n"/>
      <c r="N215" s="493" t="n"/>
      <c r="O215" s="493" t="n"/>
      <c r="P215" s="493" t="n"/>
      <c r="Q215" s="493" t="n"/>
      <c r="R215" s="493" t="n"/>
      <c r="S215" s="493" t="n"/>
      <c r="T215" s="493" t="n"/>
      <c r="U215" s="493" t="n"/>
      <c r="V215" s="493" t="n"/>
      <c r="W215" s="493" t="n"/>
      <c r="X215" s="493" t="n"/>
      <c r="Y215" s="493" t="n"/>
      <c r="Z215" s="493" t="n"/>
      <c r="AA215" s="493" t="n"/>
    </row>
    <row r="216" ht="15.75" customHeight="1" s="408">
      <c r="A216" s="493" t="n"/>
      <c r="B216" s="493" t="n"/>
      <c r="C216" s="493" t="n"/>
      <c r="D216" s="493" t="n"/>
      <c r="E216" s="493" t="n"/>
      <c r="F216" s="493" t="n"/>
      <c r="G216" s="493" t="n"/>
      <c r="H216" s="493" t="n"/>
      <c r="I216" s="493" t="n"/>
      <c r="J216" s="493" t="n"/>
      <c r="K216" s="493" t="n"/>
      <c r="L216" s="493" t="n"/>
      <c r="M216" s="493" t="n"/>
      <c r="N216" s="493" t="n"/>
      <c r="O216" s="493" t="n"/>
      <c r="P216" s="493" t="n"/>
      <c r="Q216" s="493" t="n"/>
      <c r="R216" s="493" t="n"/>
      <c r="S216" s="493" t="n"/>
      <c r="T216" s="493" t="n"/>
      <c r="U216" s="493" t="n"/>
      <c r="V216" s="493" t="n"/>
      <c r="W216" s="493" t="n"/>
      <c r="X216" s="493" t="n"/>
      <c r="Y216" s="493" t="n"/>
      <c r="Z216" s="493" t="n"/>
      <c r="AA216" s="493" t="n"/>
    </row>
    <row r="217" ht="15.75" customHeight="1" s="408">
      <c r="A217" s="493" t="n"/>
      <c r="B217" s="493" t="n"/>
      <c r="C217" s="493" t="n"/>
      <c r="D217" s="493" t="n"/>
      <c r="E217" s="493" t="n"/>
      <c r="F217" s="493" t="n"/>
      <c r="G217" s="493" t="n"/>
      <c r="H217" s="493" t="n"/>
      <c r="I217" s="493" t="n"/>
      <c r="J217" s="493" t="n"/>
      <c r="K217" s="493" t="n"/>
      <c r="L217" s="493" t="n"/>
      <c r="M217" s="493" t="n"/>
      <c r="N217" s="493" t="n"/>
      <c r="O217" s="493" t="n"/>
      <c r="P217" s="493" t="n"/>
      <c r="Q217" s="493" t="n"/>
      <c r="R217" s="493" t="n"/>
      <c r="S217" s="493" t="n"/>
      <c r="T217" s="493" t="n"/>
      <c r="U217" s="493" t="n"/>
      <c r="V217" s="493" t="n"/>
      <c r="W217" s="493" t="n"/>
      <c r="X217" s="493" t="n"/>
      <c r="Y217" s="493" t="n"/>
      <c r="Z217" s="493" t="n"/>
      <c r="AA217" s="493" t="n"/>
    </row>
    <row r="218" ht="15.75" customHeight="1" s="408">
      <c r="A218" s="493" t="n"/>
      <c r="B218" s="493" t="n"/>
      <c r="C218" s="493" t="n"/>
      <c r="D218" s="493" t="n"/>
      <c r="E218" s="493" t="n"/>
      <c r="F218" s="493" t="n"/>
      <c r="G218" s="493" t="n"/>
      <c r="H218" s="493" t="n"/>
      <c r="I218" s="493" t="n"/>
      <c r="J218" s="493" t="n"/>
      <c r="K218" s="493" t="n"/>
      <c r="L218" s="493" t="n"/>
      <c r="M218" s="493" t="n"/>
      <c r="N218" s="493" t="n"/>
      <c r="O218" s="493" t="n"/>
      <c r="P218" s="493" t="n"/>
      <c r="Q218" s="493" t="n"/>
      <c r="R218" s="493" t="n"/>
      <c r="S218" s="493" t="n"/>
      <c r="T218" s="493" t="n"/>
      <c r="U218" s="493" t="n"/>
      <c r="V218" s="493" t="n"/>
      <c r="W218" s="493" t="n"/>
      <c r="X218" s="493" t="n"/>
      <c r="Y218" s="493" t="n"/>
      <c r="Z218" s="493" t="n"/>
      <c r="AA218" s="493" t="n"/>
    </row>
    <row r="219" ht="15.75" customHeight="1" s="408">
      <c r="A219" s="493" t="n"/>
      <c r="B219" s="493" t="n"/>
      <c r="C219" s="493" t="n"/>
      <c r="D219" s="493" t="n"/>
      <c r="E219" s="493" t="n"/>
      <c r="F219" s="493" t="n"/>
      <c r="G219" s="493" t="n"/>
      <c r="H219" s="493" t="n"/>
      <c r="I219" s="493" t="n"/>
      <c r="J219" s="493" t="n"/>
      <c r="K219" s="493" t="n"/>
      <c r="L219" s="493" t="n"/>
      <c r="M219" s="493" t="n"/>
      <c r="N219" s="493" t="n"/>
      <c r="O219" s="493" t="n"/>
      <c r="P219" s="493" t="n"/>
      <c r="Q219" s="493" t="n"/>
      <c r="R219" s="493" t="n"/>
      <c r="S219" s="493" t="n"/>
      <c r="T219" s="493" t="n"/>
      <c r="U219" s="493" t="n"/>
      <c r="V219" s="493" t="n"/>
      <c r="W219" s="493" t="n"/>
      <c r="X219" s="493" t="n"/>
      <c r="Y219" s="493" t="n"/>
      <c r="Z219" s="493" t="n"/>
      <c r="AA219" s="493" t="n"/>
    </row>
    <row r="220" ht="15.75" customHeight="1" s="408">
      <c r="A220" s="493" t="n"/>
      <c r="B220" s="493" t="n"/>
      <c r="C220" s="493" t="n"/>
      <c r="D220" s="493" t="n"/>
      <c r="E220" s="493" t="n"/>
      <c r="F220" s="493" t="n"/>
      <c r="G220" s="493" t="n"/>
      <c r="H220" s="493" t="n"/>
      <c r="I220" s="493" t="n"/>
      <c r="J220" s="493" t="n"/>
      <c r="K220" s="493" t="n"/>
      <c r="L220" s="493" t="n"/>
      <c r="M220" s="493" t="n"/>
      <c r="N220" s="493" t="n"/>
      <c r="O220" s="493" t="n"/>
      <c r="P220" s="493" t="n"/>
      <c r="Q220" s="493" t="n"/>
      <c r="R220" s="493" t="n"/>
      <c r="S220" s="493" t="n"/>
      <c r="T220" s="493" t="n"/>
      <c r="U220" s="493" t="n"/>
      <c r="V220" s="493" t="n"/>
      <c r="W220" s="493" t="n"/>
      <c r="X220" s="493" t="n"/>
      <c r="Y220" s="493" t="n"/>
      <c r="Z220" s="493" t="n"/>
      <c r="AA220" s="493" t="n"/>
    </row>
    <row r="221" ht="15.75" customHeight="1" s="408">
      <c r="A221" s="493" t="n"/>
      <c r="B221" s="493" t="n"/>
      <c r="C221" s="493" t="n"/>
      <c r="D221" s="493" t="n"/>
      <c r="E221" s="493" t="n"/>
      <c r="F221" s="493" t="n"/>
      <c r="G221" s="493" t="n"/>
      <c r="H221" s="493" t="n"/>
      <c r="I221" s="493" t="n"/>
      <c r="J221" s="493" t="n"/>
      <c r="K221" s="493" t="n"/>
      <c r="L221" s="493" t="n"/>
      <c r="M221" s="493" t="n"/>
      <c r="N221" s="493" t="n"/>
      <c r="O221" s="493" t="n"/>
      <c r="P221" s="493" t="n"/>
      <c r="Q221" s="493" t="n"/>
      <c r="R221" s="493" t="n"/>
      <c r="S221" s="493" t="n"/>
      <c r="T221" s="493" t="n"/>
      <c r="U221" s="493" t="n"/>
      <c r="V221" s="493" t="n"/>
      <c r="W221" s="493" t="n"/>
      <c r="X221" s="493" t="n"/>
      <c r="Y221" s="493" t="n"/>
      <c r="Z221" s="493" t="n"/>
      <c r="AA221" s="493" t="n"/>
    </row>
    <row r="222" ht="15.75" customHeight="1" s="408">
      <c r="A222" s="493" t="n"/>
      <c r="B222" s="493" t="n"/>
      <c r="C222" s="493" t="n"/>
      <c r="D222" s="493" t="n"/>
      <c r="E222" s="493" t="n"/>
      <c r="F222" s="493" t="n"/>
      <c r="G222" s="493" t="n"/>
      <c r="H222" s="493" t="n"/>
      <c r="I222" s="493" t="n"/>
      <c r="J222" s="493" t="n"/>
      <c r="K222" s="493" t="n"/>
      <c r="L222" s="493" t="n"/>
      <c r="M222" s="493" t="n"/>
      <c r="N222" s="493" t="n"/>
      <c r="O222" s="493" t="n"/>
      <c r="P222" s="493" t="n"/>
      <c r="Q222" s="493" t="n"/>
      <c r="R222" s="493" t="n"/>
      <c r="S222" s="493" t="n"/>
      <c r="T222" s="493" t="n"/>
      <c r="U222" s="493" t="n"/>
      <c r="V222" s="493" t="n"/>
      <c r="W222" s="493" t="n"/>
      <c r="X222" s="493" t="n"/>
      <c r="Y222" s="493" t="n"/>
      <c r="Z222" s="493" t="n"/>
      <c r="AA222" s="493" t="n"/>
    </row>
    <row r="223" ht="15.75" customHeight="1" s="408">
      <c r="B223" s="493" t="n"/>
    </row>
    <row r="224" ht="15.75" customHeight="1" s="408">
      <c r="B224" s="493" t="n"/>
    </row>
    <row r="225" ht="15.75" customHeight="1" s="408">
      <c r="B225" s="493" t="n"/>
    </row>
    <row r="226" ht="15.75" customHeight="1" s="408">
      <c r="B226" s="493" t="n"/>
    </row>
    <row r="227" ht="15.75" customHeight="1" s="408">
      <c r="B227" s="493" t="n"/>
    </row>
    <row r="228" ht="15.75" customHeight="1" s="408">
      <c r="B228" s="493" t="n"/>
    </row>
    <row r="229" ht="15.75" customHeight="1" s="408">
      <c r="B229" s="493" t="n"/>
    </row>
    <row r="230" ht="15.75" customHeight="1" s="408">
      <c r="B230" s="493" t="n"/>
    </row>
    <row r="231" ht="15.75" customHeight="1" s="408">
      <c r="B231" s="493" t="n"/>
    </row>
    <row r="232" ht="15.75" customHeight="1" s="408">
      <c r="B232" s="493" t="n"/>
    </row>
    <row r="233" ht="15.75" customHeight="1" s="408">
      <c r="B233" s="493" t="n"/>
    </row>
    <row r="234" ht="15.75" customHeight="1" s="408">
      <c r="B234" s="493" t="n"/>
    </row>
    <row r="235" ht="15.75" customHeight="1" s="408">
      <c r="B235" s="493" t="n"/>
    </row>
    <row r="236" ht="15.75" customHeight="1" s="408">
      <c r="B236" s="493" t="n"/>
    </row>
    <row r="237" ht="15.75" customHeight="1" s="408">
      <c r="B237" s="493" t="n"/>
    </row>
    <row r="238" ht="15.75" customHeight="1" s="408">
      <c r="B238" s="493" t="n"/>
    </row>
    <row r="239" ht="15.75" customHeight="1" s="408">
      <c r="B239" s="493" t="n"/>
    </row>
    <row r="240" ht="15.75" customHeight="1" s="408">
      <c r="B240" s="493" t="n"/>
    </row>
    <row r="241" ht="15.75" customHeight="1" s="408">
      <c r="B241" s="493" t="n"/>
    </row>
    <row r="242" ht="15.75" customHeight="1" s="408">
      <c r="B242" s="493" t="n"/>
    </row>
    <row r="243" ht="15.75" customHeight="1" s="408">
      <c r="B243" s="493" t="n"/>
    </row>
    <row r="244" ht="15.75" customHeight="1" s="408">
      <c r="B244" s="493" t="n"/>
    </row>
    <row r="245" ht="15.75" customHeight="1" s="408">
      <c r="B245" s="493" t="n"/>
    </row>
    <row r="246" ht="15.75" customHeight="1" s="408">
      <c r="B246" s="493" t="n"/>
    </row>
    <row r="247" ht="15.75" customHeight="1" s="408">
      <c r="B247" s="493" t="n"/>
    </row>
    <row r="248" ht="15.75" customHeight="1" s="408">
      <c r="B248" s="493" t="n"/>
    </row>
    <row r="249" ht="15.75" customHeight="1" s="408">
      <c r="B249" s="493" t="n"/>
    </row>
    <row r="250" ht="15.75" customHeight="1" s="408">
      <c r="B250" s="493" t="n"/>
    </row>
    <row r="251" ht="15.75" customHeight="1" s="408">
      <c r="B251" s="493" t="n"/>
    </row>
    <row r="252" ht="15.75" customHeight="1" s="408">
      <c r="B252" s="493" t="n"/>
    </row>
    <row r="253" ht="15.75" customHeight="1" s="408">
      <c r="B253" s="493" t="n"/>
    </row>
    <row r="254" ht="15.75" customHeight="1" s="408">
      <c r="B254" s="493" t="n"/>
    </row>
    <row r="255" ht="15.75" customHeight="1" s="408">
      <c r="B255" s="493" t="n"/>
    </row>
    <row r="256" ht="15.75" customHeight="1" s="408">
      <c r="B256" s="493" t="n"/>
    </row>
    <row r="257" ht="15.75" customHeight="1" s="408">
      <c r="B257" s="493" t="n"/>
    </row>
    <row r="258" ht="15.75" customHeight="1" s="408">
      <c r="B258" s="493" t="n"/>
    </row>
    <row r="259" ht="15.75" customHeight="1" s="408">
      <c r="B259" s="493" t="n"/>
    </row>
    <row r="260" ht="15.75" customHeight="1" s="408">
      <c r="B260" s="493" t="n"/>
    </row>
    <row r="261" ht="15.75" customHeight="1" s="408">
      <c r="B261" s="493" t="n"/>
    </row>
    <row r="262" ht="15.75" customHeight="1" s="408">
      <c r="B262" s="493" t="n"/>
    </row>
    <row r="263" ht="15.75" customHeight="1" s="408">
      <c r="B263" s="493" t="n"/>
    </row>
    <row r="264" ht="15.75" customHeight="1" s="408">
      <c r="B264" s="493" t="n"/>
    </row>
    <row r="265" ht="15.75" customHeight="1" s="408">
      <c r="B265" s="493" t="n"/>
    </row>
    <row r="266" ht="15.75" customHeight="1" s="408">
      <c r="B266" s="493" t="n"/>
    </row>
    <row r="267" ht="15.75" customHeight="1" s="408">
      <c r="B267" s="493" t="n"/>
    </row>
    <row r="268" ht="15.75" customHeight="1" s="408">
      <c r="B268" s="493" t="n"/>
    </row>
    <row r="269" ht="15.75" customHeight="1" s="408">
      <c r="B269" s="493" t="n"/>
    </row>
    <row r="270" ht="15.75" customHeight="1" s="408">
      <c r="B270" s="493" t="n"/>
    </row>
    <row r="271" ht="15.75" customHeight="1" s="408">
      <c r="B271" s="493" t="n"/>
    </row>
    <row r="272" ht="15.75" customHeight="1" s="408">
      <c r="B272" s="493" t="n"/>
    </row>
    <row r="273" ht="15.75" customHeight="1" s="408">
      <c r="B273" s="493" t="n"/>
    </row>
    <row r="274" ht="15.75" customHeight="1" s="408">
      <c r="B274" s="493" t="n"/>
    </row>
    <row r="275" ht="15.75" customHeight="1" s="408">
      <c r="B275" s="493" t="n"/>
    </row>
    <row r="276" ht="15.75" customHeight="1" s="408">
      <c r="B276" s="493" t="n"/>
    </row>
    <row r="277" ht="15.75" customHeight="1" s="408">
      <c r="B277" s="493" t="n"/>
    </row>
    <row r="278" ht="15.75" customHeight="1" s="408">
      <c r="B278" s="493" t="n"/>
    </row>
    <row r="279" ht="15.75" customHeight="1" s="408">
      <c r="B279" s="493" t="n"/>
    </row>
    <row r="280" ht="15.75" customHeight="1" s="408">
      <c r="B280" s="493" t="n"/>
    </row>
    <row r="281" ht="15.75" customHeight="1" s="408">
      <c r="B281" s="493" t="n"/>
    </row>
    <row r="282" ht="15.75" customHeight="1" s="408">
      <c r="B282" s="493" t="n"/>
    </row>
    <row r="283" ht="15.75" customHeight="1" s="408">
      <c r="B283" s="493" t="n"/>
    </row>
    <row r="284" ht="15.75" customHeight="1" s="408">
      <c r="B284" s="493" t="n"/>
    </row>
    <row r="285" ht="15.75" customHeight="1" s="408">
      <c r="B285" s="493" t="n"/>
    </row>
    <row r="286" ht="15.75" customHeight="1" s="408">
      <c r="B286" s="493" t="n"/>
    </row>
    <row r="287" ht="15.75" customHeight="1" s="408">
      <c r="B287" s="493" t="n"/>
    </row>
    <row r="288" ht="15.75" customHeight="1" s="408">
      <c r="B288" s="493" t="n"/>
    </row>
    <row r="289" ht="15.75" customHeight="1" s="408">
      <c r="B289" s="493" t="n"/>
    </row>
    <row r="290" ht="15.75" customHeight="1" s="408">
      <c r="B290" s="493" t="n"/>
    </row>
    <row r="291" ht="15.75" customHeight="1" s="408">
      <c r="B291" s="493" t="n"/>
    </row>
    <row r="292" ht="15.75" customHeight="1" s="408">
      <c r="B292" s="493" t="n"/>
    </row>
    <row r="293" ht="15.75" customHeight="1" s="408">
      <c r="B293" s="493" t="n"/>
    </row>
    <row r="294" ht="15.75" customHeight="1" s="408">
      <c r="B294" s="493" t="n"/>
    </row>
    <row r="295" ht="15.75" customHeight="1" s="408">
      <c r="B295" s="493" t="n"/>
    </row>
    <row r="296" ht="15.75" customHeight="1" s="408">
      <c r="B296" s="493" t="n"/>
    </row>
    <row r="297" ht="15.75" customHeight="1" s="408">
      <c r="B297" s="493" t="n"/>
    </row>
    <row r="298" ht="15.75" customHeight="1" s="408">
      <c r="B298" s="493" t="n"/>
    </row>
    <row r="299" ht="15.75" customHeight="1" s="408">
      <c r="B299" s="493" t="n"/>
    </row>
    <row r="300" ht="15.75" customHeight="1" s="408">
      <c r="B300" s="493" t="n"/>
    </row>
    <row r="301" ht="15.75" customHeight="1" s="408">
      <c r="B301" s="493" t="n"/>
    </row>
    <row r="302" ht="15.75" customHeight="1" s="408">
      <c r="B302" s="493" t="n"/>
    </row>
    <row r="303" ht="15.75" customHeight="1" s="408">
      <c r="B303" s="493" t="n"/>
    </row>
    <row r="304" ht="15.75" customHeight="1" s="408">
      <c r="B304" s="493" t="n"/>
    </row>
    <row r="305" ht="15.75" customHeight="1" s="408">
      <c r="B305" s="493" t="n"/>
    </row>
    <row r="306" ht="15.75" customHeight="1" s="408">
      <c r="B306" s="493" t="n"/>
    </row>
    <row r="307" ht="15.75" customHeight="1" s="408">
      <c r="B307" s="493" t="n"/>
    </row>
    <row r="308" ht="15.75" customHeight="1" s="408">
      <c r="B308" s="493" t="n"/>
    </row>
    <row r="309" ht="15.75" customHeight="1" s="408">
      <c r="B309" s="493" t="n"/>
    </row>
    <row r="310" ht="15.75" customHeight="1" s="408">
      <c r="B310" s="493" t="n"/>
    </row>
    <row r="311" ht="15.75" customHeight="1" s="408">
      <c r="B311" s="493" t="n"/>
    </row>
    <row r="312" ht="15.75" customHeight="1" s="408">
      <c r="B312" s="493" t="n"/>
    </row>
    <row r="313" ht="15.75" customHeight="1" s="408">
      <c r="B313" s="493" t="n"/>
    </row>
    <row r="314" ht="15.75" customHeight="1" s="408">
      <c r="B314" s="493" t="n"/>
    </row>
    <row r="315" ht="15.75" customHeight="1" s="408">
      <c r="B315" s="493" t="n"/>
    </row>
    <row r="316" ht="15.75" customHeight="1" s="408">
      <c r="B316" s="493" t="n"/>
    </row>
    <row r="317" ht="15.75" customHeight="1" s="408">
      <c r="B317" s="493" t="n"/>
    </row>
    <row r="318" ht="15.75" customHeight="1" s="408">
      <c r="B318" s="493" t="n"/>
    </row>
    <row r="319" ht="15.75" customHeight="1" s="408">
      <c r="B319" s="493" t="n"/>
    </row>
    <row r="320" ht="15.75" customHeight="1" s="408">
      <c r="B320" s="493" t="n"/>
    </row>
    <row r="321" ht="15.75" customHeight="1" s="408">
      <c r="B321" s="493" t="n"/>
    </row>
    <row r="322" ht="15.75" customHeight="1" s="408">
      <c r="B322" s="493" t="n"/>
    </row>
    <row r="323" ht="15.75" customHeight="1" s="408">
      <c r="B323" s="493" t="n"/>
    </row>
    <row r="324" ht="15.75" customHeight="1" s="408">
      <c r="B324" s="493" t="n"/>
    </row>
    <row r="325" ht="15.75" customHeight="1" s="408">
      <c r="B325" s="493" t="n"/>
    </row>
    <row r="326" ht="15.75" customHeight="1" s="408">
      <c r="B326" s="493" t="n"/>
    </row>
    <row r="327" ht="15.75" customHeight="1" s="408">
      <c r="B327" s="493" t="n"/>
    </row>
    <row r="328" ht="15.75" customHeight="1" s="408">
      <c r="B328" s="493" t="n"/>
    </row>
    <row r="329" ht="15.75" customHeight="1" s="408">
      <c r="B329" s="493" t="n"/>
    </row>
    <row r="330" ht="15.75" customHeight="1" s="408">
      <c r="B330" s="493" t="n"/>
    </row>
    <row r="331" ht="15.75" customHeight="1" s="408">
      <c r="B331" s="493" t="n"/>
    </row>
    <row r="332" ht="15.75" customHeight="1" s="408">
      <c r="B332" s="493" t="n"/>
    </row>
    <row r="333" ht="15.75" customHeight="1" s="408">
      <c r="B333" s="493" t="n"/>
    </row>
    <row r="334" ht="15.75" customHeight="1" s="408">
      <c r="B334" s="493" t="n"/>
    </row>
    <row r="335" ht="15.75" customHeight="1" s="408">
      <c r="B335" s="493" t="n"/>
    </row>
    <row r="336" ht="15.75" customHeight="1" s="408">
      <c r="B336" s="493" t="n"/>
    </row>
    <row r="337" ht="15.75" customHeight="1" s="408">
      <c r="B337" s="493" t="n"/>
    </row>
    <row r="338" ht="15.75" customHeight="1" s="408">
      <c r="B338" s="493" t="n"/>
    </row>
    <row r="339" ht="15.75" customHeight="1" s="408">
      <c r="B339" s="493" t="n"/>
    </row>
    <row r="340" ht="15.75" customHeight="1" s="408">
      <c r="B340" s="493" t="n"/>
    </row>
    <row r="341" ht="15.75" customHeight="1" s="408">
      <c r="B341" s="493" t="n"/>
    </row>
    <row r="342" ht="15.75" customHeight="1" s="408">
      <c r="B342" s="493" t="n"/>
    </row>
    <row r="343" ht="15.75" customHeight="1" s="408">
      <c r="B343" s="493" t="n"/>
    </row>
    <row r="344" ht="15.75" customHeight="1" s="408">
      <c r="B344" s="493" t="n"/>
    </row>
    <row r="345" ht="15.75" customHeight="1" s="408">
      <c r="B345" s="493" t="n"/>
    </row>
    <row r="346" ht="15.75" customHeight="1" s="408">
      <c r="B346" s="493" t="n"/>
    </row>
    <row r="347" ht="15.75" customHeight="1" s="408">
      <c r="B347" s="493" t="n"/>
    </row>
    <row r="348" ht="15.75" customHeight="1" s="408">
      <c r="B348" s="493" t="n"/>
    </row>
    <row r="349" ht="15.75" customHeight="1" s="408">
      <c r="B349" s="493" t="n"/>
    </row>
    <row r="350" ht="15.75" customHeight="1" s="408">
      <c r="B350" s="493" t="n"/>
    </row>
    <row r="351" ht="15.75" customHeight="1" s="408">
      <c r="B351" s="493" t="n"/>
    </row>
    <row r="352" ht="15.75" customHeight="1" s="408">
      <c r="B352" s="493" t="n"/>
    </row>
    <row r="353" ht="15.75" customHeight="1" s="408">
      <c r="B353" s="493" t="n"/>
    </row>
    <row r="354" ht="15.75" customHeight="1" s="408">
      <c r="B354" s="493" t="n"/>
    </row>
    <row r="355" ht="15.75" customHeight="1" s="408">
      <c r="B355" s="493" t="n"/>
    </row>
    <row r="356" ht="15.75" customHeight="1" s="408">
      <c r="B356" s="493" t="n"/>
    </row>
    <row r="357" ht="15.75" customHeight="1" s="408">
      <c r="B357" s="493" t="n"/>
    </row>
    <row r="358" ht="15.75" customHeight="1" s="408">
      <c r="B358" s="493" t="n"/>
    </row>
    <row r="359" ht="15.75" customHeight="1" s="408">
      <c r="B359" s="493" t="n"/>
    </row>
    <row r="360" ht="15.75" customHeight="1" s="408">
      <c r="B360" s="493" t="n"/>
    </row>
    <row r="361" ht="15.75" customHeight="1" s="408">
      <c r="B361" s="493" t="n"/>
    </row>
    <row r="362" ht="15.75" customHeight="1" s="408">
      <c r="B362" s="493" t="n"/>
    </row>
    <row r="363" ht="15.75" customHeight="1" s="408">
      <c r="B363" s="493" t="n"/>
    </row>
    <row r="364" ht="15.75" customHeight="1" s="408">
      <c r="B364" s="493" t="n"/>
    </row>
    <row r="365" ht="15.75" customHeight="1" s="408">
      <c r="B365" s="493" t="n"/>
    </row>
    <row r="366" ht="15.75" customHeight="1" s="408">
      <c r="B366" s="493" t="n"/>
    </row>
    <row r="367" ht="15.75" customHeight="1" s="408">
      <c r="B367" s="493" t="n"/>
    </row>
    <row r="368" ht="15.75" customHeight="1" s="408">
      <c r="B368" s="493" t="n"/>
    </row>
    <row r="369" ht="15.75" customHeight="1" s="408">
      <c r="B369" s="493" t="n"/>
    </row>
    <row r="370" ht="15.75" customHeight="1" s="408">
      <c r="B370" s="493" t="n"/>
    </row>
    <row r="371" ht="15.75" customHeight="1" s="408">
      <c r="B371" s="493" t="n"/>
    </row>
    <row r="372" ht="15.75" customHeight="1" s="408">
      <c r="B372" s="493" t="n"/>
    </row>
    <row r="373" ht="15.75" customHeight="1" s="408">
      <c r="B373" s="493" t="n"/>
    </row>
    <row r="374" ht="15.75" customHeight="1" s="408">
      <c r="B374" s="493" t="n"/>
    </row>
    <row r="375" ht="15.75" customHeight="1" s="408">
      <c r="B375" s="493" t="n"/>
    </row>
    <row r="376" ht="15.75" customHeight="1" s="408">
      <c r="B376" s="493" t="n"/>
    </row>
    <row r="377" ht="15.75" customHeight="1" s="408">
      <c r="B377" s="493" t="n"/>
    </row>
    <row r="378" ht="15.75" customHeight="1" s="408">
      <c r="B378" s="493" t="n"/>
    </row>
    <row r="379" ht="15.75" customHeight="1" s="408">
      <c r="B379" s="493" t="n"/>
    </row>
    <row r="380" ht="15.75" customHeight="1" s="408">
      <c r="B380" s="493" t="n"/>
    </row>
    <row r="381" ht="15.75" customHeight="1" s="408">
      <c r="B381" s="493" t="n"/>
    </row>
    <row r="382" ht="15.75" customHeight="1" s="408">
      <c r="B382" s="493" t="n"/>
    </row>
    <row r="383" ht="15.75" customHeight="1" s="408">
      <c r="B383" s="493" t="n"/>
    </row>
    <row r="384" ht="15.75" customHeight="1" s="408">
      <c r="B384" s="493" t="n"/>
    </row>
    <row r="385" ht="15.75" customHeight="1" s="408">
      <c r="B385" s="493" t="n"/>
    </row>
    <row r="386" ht="15.75" customHeight="1" s="408">
      <c r="B386" s="493" t="n"/>
    </row>
    <row r="387" ht="15.75" customHeight="1" s="408">
      <c r="B387" s="493" t="n"/>
    </row>
    <row r="388" ht="15.75" customHeight="1" s="408">
      <c r="B388" s="493" t="n"/>
    </row>
    <row r="389" ht="15.75" customHeight="1" s="408">
      <c r="B389" s="493" t="n"/>
    </row>
    <row r="390" ht="15.75" customHeight="1" s="408">
      <c r="B390" s="493" t="n"/>
    </row>
    <row r="391" ht="15.75" customHeight="1" s="408">
      <c r="B391" s="493" t="n"/>
    </row>
    <row r="392" ht="15.75" customHeight="1" s="408">
      <c r="B392" s="493" t="n"/>
    </row>
    <row r="393" ht="15.75" customHeight="1" s="408">
      <c r="B393" s="493" t="n"/>
    </row>
    <row r="394" ht="15.75" customHeight="1" s="408">
      <c r="B394" s="493" t="n"/>
    </row>
    <row r="395" ht="15.75" customHeight="1" s="408">
      <c r="B395" s="493" t="n"/>
    </row>
    <row r="396" ht="15.75" customHeight="1" s="408">
      <c r="B396" s="493" t="n"/>
    </row>
    <row r="397" ht="15.75" customHeight="1" s="408">
      <c r="B397" s="493" t="n"/>
    </row>
    <row r="398" ht="15.75" customHeight="1" s="408">
      <c r="B398" s="493" t="n"/>
    </row>
    <row r="399" ht="15.75" customHeight="1" s="408">
      <c r="B399" s="493" t="n"/>
    </row>
    <row r="400" ht="15.75" customHeight="1" s="408">
      <c r="B400" s="493" t="n"/>
    </row>
    <row r="401" ht="15.75" customHeight="1" s="408">
      <c r="B401" s="493" t="n"/>
    </row>
    <row r="402" ht="15.75" customHeight="1" s="408">
      <c r="B402" s="493" t="n"/>
    </row>
    <row r="403" ht="15.75" customHeight="1" s="408">
      <c r="B403" s="493" t="n"/>
    </row>
    <row r="404" ht="15.75" customHeight="1" s="408">
      <c r="B404" s="493" t="n"/>
    </row>
    <row r="405" ht="15.75" customHeight="1" s="408">
      <c r="B405" s="493" t="n"/>
    </row>
    <row r="406" ht="15.75" customHeight="1" s="408">
      <c r="B406" s="493" t="n"/>
    </row>
    <row r="407" ht="15.75" customHeight="1" s="408">
      <c r="B407" s="493" t="n"/>
    </row>
    <row r="408" ht="15.75" customHeight="1" s="408">
      <c r="B408" s="493" t="n"/>
    </row>
    <row r="409" ht="15.75" customHeight="1" s="408">
      <c r="B409" s="493" t="n"/>
    </row>
    <row r="410" ht="15.75" customHeight="1" s="408">
      <c r="B410" s="493" t="n"/>
    </row>
    <row r="411" ht="15.75" customHeight="1" s="408">
      <c r="B411" s="493" t="n"/>
    </row>
    <row r="412" ht="15.75" customHeight="1" s="408">
      <c r="B412" s="493" t="n"/>
    </row>
    <row r="413" ht="15.75" customHeight="1" s="408">
      <c r="B413" s="493" t="n"/>
    </row>
    <row r="414" ht="15.75" customHeight="1" s="408">
      <c r="B414" s="493" t="n"/>
    </row>
    <row r="415" ht="15.75" customHeight="1" s="408">
      <c r="B415" s="493" t="n"/>
    </row>
    <row r="416" ht="15.75" customHeight="1" s="408">
      <c r="B416" s="493" t="n"/>
    </row>
    <row r="417" ht="15.75" customHeight="1" s="408">
      <c r="B417" s="493" t="n"/>
    </row>
    <row r="418" ht="15.75" customHeight="1" s="408">
      <c r="B418" s="493" t="n"/>
    </row>
    <row r="419" ht="15.75" customHeight="1" s="408">
      <c r="B419" s="493" t="n"/>
    </row>
    <row r="420" ht="15.75" customHeight="1" s="408">
      <c r="B420" s="493" t="n"/>
    </row>
    <row r="421" ht="15.75" customHeight="1" s="408">
      <c r="B421" s="493" t="n"/>
    </row>
    <row r="422" ht="15.75" customHeight="1" s="408">
      <c r="B422" s="493" t="n"/>
    </row>
    <row r="423" ht="15.75" customHeight="1" s="408">
      <c r="B423" s="493" t="n"/>
    </row>
    <row r="424" ht="15.75" customHeight="1" s="408">
      <c r="B424" s="493" t="n"/>
    </row>
    <row r="425" ht="15.75" customHeight="1" s="408">
      <c r="B425" s="493" t="n"/>
    </row>
    <row r="426" ht="15.75" customHeight="1" s="408">
      <c r="B426" s="493" t="n"/>
    </row>
    <row r="427" ht="15.75" customHeight="1" s="408">
      <c r="B427" s="493" t="n"/>
    </row>
    <row r="428" ht="15.75" customHeight="1" s="408">
      <c r="B428" s="493" t="n"/>
    </row>
    <row r="429" ht="15.75" customHeight="1" s="408">
      <c r="B429" s="493" t="n"/>
    </row>
    <row r="430" ht="15.75" customHeight="1" s="408">
      <c r="B430" s="493" t="n"/>
    </row>
    <row r="431" ht="15.75" customHeight="1" s="408">
      <c r="B431" s="493" t="n"/>
    </row>
    <row r="432" ht="15.75" customHeight="1" s="408">
      <c r="B432" s="493" t="n"/>
    </row>
    <row r="433" ht="15.75" customHeight="1" s="408">
      <c r="B433" s="493" t="n"/>
    </row>
    <row r="434" ht="15.75" customHeight="1" s="408">
      <c r="B434" s="493" t="n"/>
    </row>
    <row r="435" ht="15.75" customHeight="1" s="408">
      <c r="B435" s="493" t="n"/>
    </row>
    <row r="436" ht="15.75" customHeight="1" s="408">
      <c r="B436" s="493" t="n"/>
    </row>
    <row r="437" ht="15.75" customHeight="1" s="408">
      <c r="B437" s="493" t="n"/>
    </row>
    <row r="438" ht="15.75" customHeight="1" s="408">
      <c r="B438" s="493" t="n"/>
    </row>
    <row r="439" ht="15.75" customHeight="1" s="408">
      <c r="B439" s="493" t="n"/>
    </row>
    <row r="440" ht="15.75" customHeight="1" s="408">
      <c r="B440" s="493" t="n"/>
    </row>
    <row r="441" ht="15.75" customHeight="1" s="408">
      <c r="B441" s="493" t="n"/>
    </row>
    <row r="442" ht="15.75" customHeight="1" s="408">
      <c r="B442" s="493" t="n"/>
    </row>
    <row r="443" ht="15.75" customHeight="1" s="408">
      <c r="B443" s="493" t="n"/>
    </row>
    <row r="444" ht="15.75" customHeight="1" s="408">
      <c r="B444" s="493" t="n"/>
    </row>
    <row r="445" ht="15.75" customHeight="1" s="408">
      <c r="B445" s="493" t="n"/>
    </row>
    <row r="446" ht="15.75" customHeight="1" s="408">
      <c r="B446" s="493" t="n"/>
    </row>
    <row r="447" ht="15.75" customHeight="1" s="408">
      <c r="B447" s="493" t="n"/>
    </row>
    <row r="448" ht="15.75" customHeight="1" s="408">
      <c r="B448" s="493" t="n"/>
    </row>
    <row r="449" ht="15.75" customHeight="1" s="408">
      <c r="B449" s="493" t="n"/>
    </row>
    <row r="450" ht="15.75" customHeight="1" s="408">
      <c r="B450" s="493" t="n"/>
    </row>
    <row r="451" ht="15.75" customHeight="1" s="408">
      <c r="B451" s="493" t="n"/>
    </row>
    <row r="452" ht="15.75" customHeight="1" s="408">
      <c r="B452" s="493" t="n"/>
    </row>
    <row r="453" ht="15.75" customHeight="1" s="408">
      <c r="B453" s="493" t="n"/>
    </row>
    <row r="454" ht="15.75" customHeight="1" s="408">
      <c r="B454" s="493" t="n"/>
    </row>
    <row r="455" ht="15.75" customHeight="1" s="408">
      <c r="B455" s="493" t="n"/>
    </row>
    <row r="456" ht="15.75" customHeight="1" s="408">
      <c r="B456" s="493" t="n"/>
    </row>
    <row r="457" ht="15.75" customHeight="1" s="408">
      <c r="B457" s="493" t="n"/>
    </row>
    <row r="458" ht="15.75" customHeight="1" s="408">
      <c r="B458" s="493" t="n"/>
    </row>
    <row r="459" ht="15.75" customHeight="1" s="408">
      <c r="B459" s="493" t="n"/>
    </row>
    <row r="460" ht="15.75" customHeight="1" s="408">
      <c r="B460" s="493" t="n"/>
    </row>
    <row r="461" ht="15.75" customHeight="1" s="408">
      <c r="B461" s="493" t="n"/>
    </row>
    <row r="462" ht="15.75" customHeight="1" s="408">
      <c r="B462" s="493" t="n"/>
    </row>
    <row r="463" ht="15.75" customHeight="1" s="408">
      <c r="B463" s="493" t="n"/>
    </row>
    <row r="464" ht="15.75" customHeight="1" s="408">
      <c r="B464" s="493" t="n"/>
    </row>
    <row r="465" ht="15.75" customHeight="1" s="408">
      <c r="B465" s="493" t="n"/>
    </row>
    <row r="466" ht="15.75" customHeight="1" s="408">
      <c r="B466" s="493" t="n"/>
    </row>
    <row r="467" ht="15.75" customHeight="1" s="408">
      <c r="B467" s="493" t="n"/>
    </row>
    <row r="468" ht="15.75" customHeight="1" s="408">
      <c r="B468" s="493" t="n"/>
    </row>
    <row r="469" ht="15.75" customHeight="1" s="408">
      <c r="B469" s="493" t="n"/>
    </row>
    <row r="470" ht="15.75" customHeight="1" s="408">
      <c r="B470" s="493" t="n"/>
    </row>
    <row r="471" ht="15.75" customHeight="1" s="408">
      <c r="B471" s="493" t="n"/>
    </row>
    <row r="472" ht="15.75" customHeight="1" s="408">
      <c r="B472" s="493" t="n"/>
    </row>
    <row r="473" ht="15.75" customHeight="1" s="408">
      <c r="B473" s="493" t="n"/>
    </row>
    <row r="474" ht="15.75" customHeight="1" s="408">
      <c r="B474" s="493" t="n"/>
    </row>
    <row r="475" ht="15.75" customHeight="1" s="408">
      <c r="B475" s="493" t="n"/>
    </row>
    <row r="476" ht="15.75" customHeight="1" s="408">
      <c r="B476" s="493" t="n"/>
    </row>
    <row r="477" ht="15.75" customHeight="1" s="408">
      <c r="B477" s="493" t="n"/>
    </row>
    <row r="478" ht="15.75" customHeight="1" s="408">
      <c r="B478" s="493" t="n"/>
    </row>
    <row r="479" ht="15.75" customHeight="1" s="408">
      <c r="B479" s="493" t="n"/>
    </row>
    <row r="480" ht="15.75" customHeight="1" s="408">
      <c r="B480" s="493" t="n"/>
    </row>
    <row r="481" ht="15.75" customHeight="1" s="408">
      <c r="B481" s="493" t="n"/>
    </row>
    <row r="482" ht="15.75" customHeight="1" s="408">
      <c r="B482" s="493" t="n"/>
    </row>
    <row r="483" ht="15.75" customHeight="1" s="408">
      <c r="B483" s="493" t="n"/>
    </row>
    <row r="484" ht="15.75" customHeight="1" s="408">
      <c r="B484" s="493" t="n"/>
    </row>
    <row r="485" ht="15.75" customHeight="1" s="408">
      <c r="B485" s="493" t="n"/>
    </row>
    <row r="486" ht="15.75" customHeight="1" s="408">
      <c r="B486" s="493" t="n"/>
    </row>
    <row r="487" ht="15.75" customHeight="1" s="408">
      <c r="B487" s="493" t="n"/>
    </row>
    <row r="488" ht="15.75" customHeight="1" s="408">
      <c r="B488" s="493" t="n"/>
    </row>
    <row r="489" ht="15.75" customHeight="1" s="408">
      <c r="B489" s="493" t="n"/>
    </row>
    <row r="490" ht="15.75" customHeight="1" s="408">
      <c r="B490" s="493" t="n"/>
    </row>
    <row r="491" ht="15.75" customHeight="1" s="408">
      <c r="B491" s="493" t="n"/>
    </row>
    <row r="492" ht="15.75" customHeight="1" s="408">
      <c r="B492" s="493" t="n"/>
    </row>
    <row r="493" ht="15.75" customHeight="1" s="408">
      <c r="B493" s="493" t="n"/>
    </row>
    <row r="494" ht="15.75" customHeight="1" s="408">
      <c r="B494" s="493" t="n"/>
    </row>
    <row r="495" ht="15.75" customHeight="1" s="408">
      <c r="B495" s="493" t="n"/>
    </row>
    <row r="496" ht="15.75" customHeight="1" s="408">
      <c r="B496" s="493" t="n"/>
    </row>
    <row r="497" ht="15.75" customHeight="1" s="408">
      <c r="B497" s="493" t="n"/>
    </row>
    <row r="498" ht="15.75" customHeight="1" s="408">
      <c r="B498" s="493" t="n"/>
    </row>
    <row r="499" ht="15.75" customHeight="1" s="408">
      <c r="B499" s="493" t="n"/>
    </row>
    <row r="500" ht="15.75" customHeight="1" s="408">
      <c r="B500" s="493" t="n"/>
    </row>
    <row r="501" ht="15.75" customHeight="1" s="408">
      <c r="B501" s="493" t="n"/>
    </row>
    <row r="502" ht="15.75" customHeight="1" s="408">
      <c r="B502" s="493" t="n"/>
    </row>
    <row r="503" ht="15.75" customHeight="1" s="408">
      <c r="B503" s="493" t="n"/>
    </row>
    <row r="504" ht="15.75" customHeight="1" s="408">
      <c r="B504" s="493" t="n"/>
    </row>
    <row r="505" ht="15.75" customHeight="1" s="408">
      <c r="B505" s="493" t="n"/>
    </row>
    <row r="506" ht="15.75" customHeight="1" s="408">
      <c r="B506" s="493" t="n"/>
    </row>
    <row r="507" ht="15.75" customHeight="1" s="408">
      <c r="B507" s="493" t="n"/>
    </row>
    <row r="508" ht="15.75" customHeight="1" s="408">
      <c r="B508" s="493" t="n"/>
    </row>
    <row r="509" ht="15.75" customHeight="1" s="408">
      <c r="B509" s="493" t="n"/>
    </row>
    <row r="510" ht="15.75" customHeight="1" s="408">
      <c r="B510" s="493" t="n"/>
    </row>
    <row r="511" ht="15.75" customHeight="1" s="408">
      <c r="B511" s="493" t="n"/>
    </row>
    <row r="512" ht="15.75" customHeight="1" s="408">
      <c r="B512" s="493" t="n"/>
    </row>
    <row r="513" ht="15.75" customHeight="1" s="408">
      <c r="B513" s="493" t="n"/>
    </row>
    <row r="514" ht="15.75" customHeight="1" s="408">
      <c r="B514" s="493" t="n"/>
    </row>
    <row r="515" ht="15.75" customHeight="1" s="408">
      <c r="B515" s="493" t="n"/>
    </row>
    <row r="516" ht="15.75" customHeight="1" s="408">
      <c r="B516" s="493" t="n"/>
    </row>
    <row r="517" ht="15.75" customHeight="1" s="408">
      <c r="B517" s="493" t="n"/>
    </row>
    <row r="518" ht="15.75" customHeight="1" s="408">
      <c r="B518" s="493" t="n"/>
    </row>
    <row r="519" ht="15.75" customHeight="1" s="408">
      <c r="B519" s="493" t="n"/>
    </row>
    <row r="520" ht="15.75" customHeight="1" s="408">
      <c r="B520" s="493" t="n"/>
    </row>
    <row r="521" ht="15.75" customHeight="1" s="408">
      <c r="B521" s="493" t="n"/>
    </row>
    <row r="522" ht="15.75" customHeight="1" s="408">
      <c r="B522" s="493" t="n"/>
    </row>
    <row r="523" ht="15.75" customHeight="1" s="408">
      <c r="B523" s="493" t="n"/>
    </row>
    <row r="524" ht="15.75" customHeight="1" s="408">
      <c r="B524" s="493" t="n"/>
    </row>
    <row r="525" ht="15.75" customHeight="1" s="408">
      <c r="B525" s="493" t="n"/>
    </row>
    <row r="526" ht="15.75" customHeight="1" s="408">
      <c r="B526" s="493" t="n"/>
    </row>
    <row r="527" ht="15.75" customHeight="1" s="408">
      <c r="B527" s="493" t="n"/>
    </row>
    <row r="528" ht="15.75" customHeight="1" s="408">
      <c r="B528" s="493" t="n"/>
    </row>
    <row r="529" ht="15.75" customHeight="1" s="408">
      <c r="B529" s="493" t="n"/>
    </row>
    <row r="530" ht="15.75" customHeight="1" s="408">
      <c r="B530" s="493" t="n"/>
    </row>
    <row r="531" ht="15.75" customHeight="1" s="408">
      <c r="B531" s="493" t="n"/>
    </row>
    <row r="532" ht="15.75" customHeight="1" s="408">
      <c r="B532" s="493" t="n"/>
    </row>
    <row r="533" ht="15.75" customHeight="1" s="408">
      <c r="B533" s="493" t="n"/>
    </row>
    <row r="534" ht="15.75" customHeight="1" s="408">
      <c r="B534" s="493" t="n"/>
    </row>
    <row r="535" ht="15.75" customHeight="1" s="408">
      <c r="B535" s="493" t="n"/>
    </row>
    <row r="536" ht="15.75" customHeight="1" s="408">
      <c r="B536" s="493" t="n"/>
    </row>
    <row r="537" ht="15.75" customHeight="1" s="408">
      <c r="B537" s="493" t="n"/>
    </row>
    <row r="538" ht="15.75" customHeight="1" s="408">
      <c r="B538" s="493" t="n"/>
    </row>
    <row r="539" ht="15.75" customHeight="1" s="408">
      <c r="B539" s="493" t="n"/>
    </row>
    <row r="540" ht="15.75" customHeight="1" s="408">
      <c r="B540" s="493" t="n"/>
    </row>
    <row r="541" ht="15.75" customHeight="1" s="408">
      <c r="B541" s="493" t="n"/>
    </row>
    <row r="542" ht="15.75" customHeight="1" s="408">
      <c r="B542" s="493" t="n"/>
    </row>
    <row r="543" ht="15.75" customHeight="1" s="408">
      <c r="B543" s="493" t="n"/>
    </row>
    <row r="544" ht="15.75" customHeight="1" s="408">
      <c r="B544" s="493" t="n"/>
    </row>
    <row r="545" ht="15.75" customHeight="1" s="408">
      <c r="B545" s="493" t="n"/>
    </row>
    <row r="546" ht="15.75" customHeight="1" s="408">
      <c r="B546" s="493" t="n"/>
    </row>
    <row r="547" ht="15.75" customHeight="1" s="408">
      <c r="B547" s="493" t="n"/>
    </row>
    <row r="548" ht="15.75" customHeight="1" s="408">
      <c r="B548" s="493" t="n"/>
    </row>
    <row r="549" ht="15.75" customHeight="1" s="408">
      <c r="B549" s="493" t="n"/>
    </row>
    <row r="550" ht="15.75" customHeight="1" s="408">
      <c r="B550" s="493" t="n"/>
    </row>
    <row r="551" ht="15.75" customHeight="1" s="408">
      <c r="B551" s="493" t="n"/>
    </row>
    <row r="552" ht="15.75" customHeight="1" s="408">
      <c r="B552" s="493" t="n"/>
    </row>
    <row r="553" ht="15.75" customHeight="1" s="408">
      <c r="B553" s="493" t="n"/>
    </row>
    <row r="554" ht="15.75" customHeight="1" s="408">
      <c r="B554" s="493" t="n"/>
    </row>
    <row r="555" ht="15.75" customHeight="1" s="408">
      <c r="B555" s="493" t="n"/>
    </row>
    <row r="556" ht="15.75" customHeight="1" s="408">
      <c r="B556" s="493" t="n"/>
    </row>
    <row r="557" ht="15.75" customHeight="1" s="408">
      <c r="B557" s="493" t="n"/>
    </row>
    <row r="558" ht="15.75" customHeight="1" s="408">
      <c r="B558" s="493" t="n"/>
    </row>
    <row r="559" ht="15.75" customHeight="1" s="408">
      <c r="B559" s="493" t="n"/>
    </row>
    <row r="560" ht="15.75" customHeight="1" s="408">
      <c r="B560" s="493" t="n"/>
    </row>
    <row r="561" ht="15.75" customHeight="1" s="408">
      <c r="B561" s="493" t="n"/>
    </row>
    <row r="562" ht="15.75" customHeight="1" s="408">
      <c r="B562" s="493" t="n"/>
    </row>
    <row r="563" ht="15.75" customHeight="1" s="408">
      <c r="B563" s="493" t="n"/>
    </row>
    <row r="564" ht="15.75" customHeight="1" s="408">
      <c r="B564" s="493" t="n"/>
    </row>
    <row r="565" ht="15.75" customHeight="1" s="408">
      <c r="B565" s="493" t="n"/>
    </row>
    <row r="566" ht="15.75" customHeight="1" s="408">
      <c r="B566" s="493" t="n"/>
    </row>
    <row r="567" ht="15.75" customHeight="1" s="408">
      <c r="B567" s="493" t="n"/>
    </row>
    <row r="568" ht="15.75" customHeight="1" s="408">
      <c r="B568" s="493" t="n"/>
    </row>
    <row r="569" ht="15.75" customHeight="1" s="408">
      <c r="B569" s="493" t="n"/>
    </row>
    <row r="570" ht="15.75" customHeight="1" s="408">
      <c r="B570" s="493" t="n"/>
    </row>
    <row r="571" ht="15.75" customHeight="1" s="408">
      <c r="B571" s="493" t="n"/>
    </row>
    <row r="572" ht="15.75" customHeight="1" s="408">
      <c r="B572" s="493" t="n"/>
    </row>
    <row r="573" ht="15.75" customHeight="1" s="408">
      <c r="B573" s="493" t="n"/>
    </row>
    <row r="574" ht="15.75" customHeight="1" s="408">
      <c r="B574" s="493" t="n"/>
    </row>
    <row r="575" ht="15.75" customHeight="1" s="408">
      <c r="B575" s="493" t="n"/>
    </row>
    <row r="576" ht="15.75" customHeight="1" s="408">
      <c r="B576" s="493" t="n"/>
    </row>
    <row r="577" ht="15.75" customHeight="1" s="408">
      <c r="B577" s="493" t="n"/>
    </row>
    <row r="578" ht="15.75" customHeight="1" s="408">
      <c r="B578" s="493" t="n"/>
    </row>
    <row r="579" ht="15.75" customHeight="1" s="408">
      <c r="B579" s="493" t="n"/>
    </row>
    <row r="580" ht="15.75" customHeight="1" s="408">
      <c r="B580" s="493" t="n"/>
    </row>
    <row r="581" ht="15.75" customHeight="1" s="408">
      <c r="B581" s="493" t="n"/>
    </row>
    <row r="582" ht="15.75" customHeight="1" s="408">
      <c r="B582" s="493" t="n"/>
    </row>
    <row r="583" ht="15.75" customHeight="1" s="408">
      <c r="B583" s="493" t="n"/>
    </row>
    <row r="584" ht="15.75" customHeight="1" s="408">
      <c r="B584" s="493" t="n"/>
    </row>
    <row r="585" ht="15.75" customHeight="1" s="408">
      <c r="B585" s="493" t="n"/>
    </row>
    <row r="586" ht="15.75" customHeight="1" s="408">
      <c r="B586" s="493" t="n"/>
    </row>
    <row r="587" ht="15.75" customHeight="1" s="408">
      <c r="B587" s="493" t="n"/>
    </row>
    <row r="588" ht="15.75" customHeight="1" s="408">
      <c r="B588" s="493" t="n"/>
    </row>
    <row r="589" ht="15.75" customHeight="1" s="408">
      <c r="B589" s="493" t="n"/>
    </row>
    <row r="590" ht="15.75" customHeight="1" s="408">
      <c r="B590" s="493" t="n"/>
    </row>
    <row r="591" ht="15.75" customHeight="1" s="408">
      <c r="B591" s="493" t="n"/>
    </row>
    <row r="592" ht="15.75" customHeight="1" s="408">
      <c r="B592" s="493" t="n"/>
    </row>
    <row r="593" ht="15.75" customHeight="1" s="408">
      <c r="B593" s="493" t="n"/>
    </row>
    <row r="594" ht="15.75" customHeight="1" s="408">
      <c r="B594" s="493" t="n"/>
    </row>
    <row r="595" ht="15.75" customHeight="1" s="408">
      <c r="B595" s="493" t="n"/>
    </row>
    <row r="596" ht="15.75" customHeight="1" s="408">
      <c r="B596" s="493" t="n"/>
    </row>
    <row r="597" ht="15.75" customHeight="1" s="408">
      <c r="B597" s="493" t="n"/>
    </row>
    <row r="598" ht="15.75" customHeight="1" s="408">
      <c r="B598" s="493" t="n"/>
    </row>
    <row r="599" ht="15.75" customHeight="1" s="408">
      <c r="B599" s="493" t="n"/>
    </row>
    <row r="600" ht="15.75" customHeight="1" s="408">
      <c r="B600" s="493" t="n"/>
    </row>
    <row r="601" ht="15.75" customHeight="1" s="408">
      <c r="B601" s="493" t="n"/>
    </row>
    <row r="602" ht="15.75" customHeight="1" s="408">
      <c r="B602" s="493" t="n"/>
    </row>
    <row r="603" ht="15.75" customHeight="1" s="408">
      <c r="B603" s="493" t="n"/>
    </row>
    <row r="604" ht="15.75" customHeight="1" s="408">
      <c r="B604" s="493" t="n"/>
    </row>
    <row r="605" ht="15.75" customHeight="1" s="408">
      <c r="B605" s="493" t="n"/>
    </row>
    <row r="606" ht="15.75" customHeight="1" s="408">
      <c r="B606" s="493" t="n"/>
    </row>
    <row r="607" ht="15.75" customHeight="1" s="408">
      <c r="B607" s="493" t="n"/>
    </row>
    <row r="608" ht="15.75" customHeight="1" s="408">
      <c r="B608" s="493" t="n"/>
    </row>
    <row r="609" ht="15.75" customHeight="1" s="408">
      <c r="B609" s="493" t="n"/>
    </row>
    <row r="610" ht="15.75" customHeight="1" s="408">
      <c r="B610" s="493" t="n"/>
    </row>
    <row r="611" ht="15.75" customHeight="1" s="408">
      <c r="B611" s="493" t="n"/>
    </row>
    <row r="612" ht="15.75" customHeight="1" s="408">
      <c r="B612" s="493" t="n"/>
    </row>
    <row r="613" ht="15.75" customHeight="1" s="408">
      <c r="B613" s="493" t="n"/>
    </row>
    <row r="614" ht="15.75" customHeight="1" s="408">
      <c r="B614" s="493" t="n"/>
    </row>
    <row r="615" ht="15.75" customHeight="1" s="408">
      <c r="B615" s="493" t="n"/>
    </row>
    <row r="616" ht="15.75" customHeight="1" s="408">
      <c r="B616" s="493" t="n"/>
    </row>
    <row r="617" ht="15.75" customHeight="1" s="408">
      <c r="B617" s="493" t="n"/>
    </row>
    <row r="618" ht="15.75" customHeight="1" s="408">
      <c r="B618" s="493" t="n"/>
    </row>
    <row r="619" ht="15.75" customHeight="1" s="408">
      <c r="B619" s="493" t="n"/>
    </row>
    <row r="620" ht="15.75" customHeight="1" s="408">
      <c r="B620" s="493" t="n"/>
    </row>
    <row r="621" ht="15.75" customHeight="1" s="408">
      <c r="B621" s="493" t="n"/>
    </row>
    <row r="622" ht="15.75" customHeight="1" s="408">
      <c r="B622" s="493" t="n"/>
    </row>
    <row r="623" ht="15.75" customHeight="1" s="408">
      <c r="B623" s="493" t="n"/>
    </row>
    <row r="624" ht="15.75" customHeight="1" s="408">
      <c r="B624" s="493" t="n"/>
    </row>
    <row r="625" ht="15.75" customHeight="1" s="408">
      <c r="B625" s="493" t="n"/>
    </row>
    <row r="626" ht="15.75" customHeight="1" s="408">
      <c r="B626" s="493" t="n"/>
    </row>
    <row r="627" ht="15.75" customHeight="1" s="408">
      <c r="B627" s="493" t="n"/>
    </row>
    <row r="628" ht="15.75" customHeight="1" s="408">
      <c r="B628" s="493" t="n"/>
    </row>
    <row r="629" ht="15.75" customHeight="1" s="408">
      <c r="B629" s="493" t="n"/>
    </row>
    <row r="630" ht="15.75" customHeight="1" s="408">
      <c r="B630" s="493" t="n"/>
    </row>
    <row r="631" ht="15.75" customHeight="1" s="408">
      <c r="B631" s="493" t="n"/>
    </row>
    <row r="632" ht="15.75" customHeight="1" s="408">
      <c r="B632" s="493" t="n"/>
    </row>
    <row r="633" ht="15.75" customHeight="1" s="408">
      <c r="B633" s="493" t="n"/>
    </row>
    <row r="634" ht="15.75" customHeight="1" s="408">
      <c r="B634" s="493" t="n"/>
    </row>
    <row r="635" ht="15.75" customHeight="1" s="408">
      <c r="B635" s="493" t="n"/>
    </row>
    <row r="636" ht="15.75" customHeight="1" s="408">
      <c r="B636" s="493" t="n"/>
    </row>
    <row r="637" ht="15.75" customHeight="1" s="408">
      <c r="B637" s="493" t="n"/>
    </row>
    <row r="638" ht="15.75" customHeight="1" s="408">
      <c r="B638" s="493" t="n"/>
    </row>
    <row r="639" ht="15.75" customHeight="1" s="408">
      <c r="B639" s="493" t="n"/>
    </row>
    <row r="640" ht="15.75" customHeight="1" s="408">
      <c r="B640" s="493" t="n"/>
    </row>
    <row r="641" ht="15.75" customHeight="1" s="408">
      <c r="B641" s="493" t="n"/>
    </row>
    <row r="642" ht="15.75" customHeight="1" s="408">
      <c r="B642" s="493" t="n"/>
    </row>
    <row r="643" ht="15.75" customHeight="1" s="408">
      <c r="B643" s="493" t="n"/>
    </row>
    <row r="644" ht="15.75" customHeight="1" s="408">
      <c r="B644" s="493" t="n"/>
    </row>
    <row r="645" ht="15.75" customHeight="1" s="408">
      <c r="B645" s="493" t="n"/>
    </row>
    <row r="646" ht="15.75" customHeight="1" s="408">
      <c r="B646" s="493" t="n"/>
    </row>
    <row r="647" ht="15.75" customHeight="1" s="408">
      <c r="B647" s="493" t="n"/>
    </row>
    <row r="648" ht="15.75" customHeight="1" s="408">
      <c r="B648" s="493" t="n"/>
    </row>
    <row r="649" ht="15.75" customHeight="1" s="408">
      <c r="B649" s="493" t="n"/>
    </row>
    <row r="650" ht="15.75" customHeight="1" s="408">
      <c r="B650" s="493" t="n"/>
    </row>
    <row r="651" ht="15.75" customHeight="1" s="408">
      <c r="B651" s="493" t="n"/>
    </row>
    <row r="652" ht="15.75" customHeight="1" s="408">
      <c r="B652" s="493" t="n"/>
    </row>
    <row r="653" ht="15.75" customHeight="1" s="408">
      <c r="B653" s="493" t="n"/>
    </row>
    <row r="654" ht="15.75" customHeight="1" s="408">
      <c r="B654" s="493" t="n"/>
    </row>
    <row r="655" ht="15.75" customHeight="1" s="408">
      <c r="B655" s="493" t="n"/>
    </row>
    <row r="656" ht="15.75" customHeight="1" s="408">
      <c r="B656" s="493" t="n"/>
    </row>
    <row r="657" ht="15.75" customHeight="1" s="408">
      <c r="B657" s="493" t="n"/>
    </row>
    <row r="658" ht="15.75" customHeight="1" s="408">
      <c r="B658" s="493" t="n"/>
    </row>
    <row r="659" ht="15.75" customHeight="1" s="408">
      <c r="B659" s="493" t="n"/>
    </row>
    <row r="660" ht="15.75" customHeight="1" s="408">
      <c r="B660" s="493" t="n"/>
    </row>
    <row r="661" ht="15.75" customHeight="1" s="408">
      <c r="B661" s="493" t="n"/>
    </row>
    <row r="662" ht="15.75" customHeight="1" s="408">
      <c r="B662" s="493" t="n"/>
    </row>
    <row r="663" ht="15.75" customHeight="1" s="408">
      <c r="B663" s="493" t="n"/>
    </row>
    <row r="664" ht="15.75" customHeight="1" s="408">
      <c r="B664" s="493" t="n"/>
    </row>
    <row r="665" ht="15.75" customHeight="1" s="408">
      <c r="B665" s="493" t="n"/>
    </row>
    <row r="666" ht="15.75" customHeight="1" s="408">
      <c r="B666" s="493" t="n"/>
    </row>
    <row r="667" ht="15.75" customHeight="1" s="408">
      <c r="B667" s="493" t="n"/>
    </row>
    <row r="668" ht="15.75" customHeight="1" s="408">
      <c r="B668" s="493" t="n"/>
    </row>
    <row r="669" ht="15.75" customHeight="1" s="408">
      <c r="B669" s="493" t="n"/>
    </row>
    <row r="670" ht="15.75" customHeight="1" s="408">
      <c r="B670" s="493" t="n"/>
    </row>
    <row r="671" ht="15.75" customHeight="1" s="408">
      <c r="B671" s="493" t="n"/>
    </row>
    <row r="672" ht="15.75" customHeight="1" s="408">
      <c r="B672" s="493" t="n"/>
    </row>
    <row r="673" ht="15.75" customHeight="1" s="408">
      <c r="B673" s="493" t="n"/>
    </row>
    <row r="674" ht="15.75" customHeight="1" s="408">
      <c r="B674" s="493" t="n"/>
    </row>
    <row r="675" ht="15.75" customHeight="1" s="408">
      <c r="B675" s="493" t="n"/>
    </row>
    <row r="676" ht="15.75" customHeight="1" s="408">
      <c r="B676" s="493" t="n"/>
    </row>
    <row r="677" ht="15.75" customHeight="1" s="408">
      <c r="B677" s="493" t="n"/>
    </row>
    <row r="678" ht="15.75" customHeight="1" s="408">
      <c r="B678" s="493" t="n"/>
    </row>
    <row r="679" ht="15.75" customHeight="1" s="408">
      <c r="B679" s="493" t="n"/>
    </row>
    <row r="680" ht="15.75" customHeight="1" s="408">
      <c r="B680" s="493" t="n"/>
    </row>
    <row r="681" ht="15.75" customHeight="1" s="408">
      <c r="B681" s="493" t="n"/>
    </row>
    <row r="682" ht="15.75" customHeight="1" s="408">
      <c r="B682" s="493" t="n"/>
    </row>
    <row r="683" ht="15.75" customHeight="1" s="408">
      <c r="B683" s="493" t="n"/>
    </row>
    <row r="684" ht="15.75" customHeight="1" s="408">
      <c r="B684" s="493" t="n"/>
    </row>
    <row r="685" ht="15.75" customHeight="1" s="408">
      <c r="B685" s="493" t="n"/>
    </row>
    <row r="686" ht="15.75" customHeight="1" s="408">
      <c r="B686" s="493" t="n"/>
    </row>
    <row r="687" ht="15.75" customHeight="1" s="408">
      <c r="B687" s="493" t="n"/>
    </row>
    <row r="688" ht="15.75" customHeight="1" s="408">
      <c r="B688" s="493" t="n"/>
    </row>
    <row r="689" ht="15.75" customHeight="1" s="408">
      <c r="B689" s="493" t="n"/>
    </row>
    <row r="690" ht="15.75" customHeight="1" s="408">
      <c r="B690" s="493" t="n"/>
    </row>
    <row r="691" ht="15.75" customHeight="1" s="408">
      <c r="B691" s="493" t="n"/>
    </row>
    <row r="692" ht="15.75" customHeight="1" s="408">
      <c r="B692" s="493" t="n"/>
    </row>
    <row r="693" ht="15.75" customHeight="1" s="408">
      <c r="B693" s="493" t="n"/>
    </row>
    <row r="694" ht="15.75" customHeight="1" s="408">
      <c r="B694" s="493" t="n"/>
    </row>
    <row r="695" ht="15.75" customHeight="1" s="408">
      <c r="B695" s="493" t="n"/>
    </row>
    <row r="696" ht="15.75" customHeight="1" s="408">
      <c r="B696" s="493" t="n"/>
    </row>
    <row r="697" ht="15.75" customHeight="1" s="408">
      <c r="B697" s="493" t="n"/>
    </row>
    <row r="698" ht="15.75" customHeight="1" s="408">
      <c r="B698" s="493" t="n"/>
    </row>
    <row r="699" ht="15.75" customHeight="1" s="408">
      <c r="B699" s="493" t="n"/>
    </row>
    <row r="700" ht="15.75" customHeight="1" s="408">
      <c r="B700" s="493" t="n"/>
    </row>
    <row r="701" ht="15.75" customHeight="1" s="408">
      <c r="B701" s="493" t="n"/>
    </row>
    <row r="702" ht="15.75" customHeight="1" s="408">
      <c r="B702" s="493" t="n"/>
    </row>
    <row r="703" ht="15.75" customHeight="1" s="408">
      <c r="B703" s="493" t="n"/>
    </row>
    <row r="704" ht="15.75" customHeight="1" s="408">
      <c r="B704" s="493" t="n"/>
    </row>
    <row r="705" ht="15.75" customHeight="1" s="408">
      <c r="B705" s="493" t="n"/>
    </row>
    <row r="706" ht="15.75" customHeight="1" s="408">
      <c r="B706" s="493" t="n"/>
    </row>
    <row r="707" ht="15.75" customHeight="1" s="408">
      <c r="B707" s="493" t="n"/>
    </row>
    <row r="708" ht="15.75" customHeight="1" s="408">
      <c r="B708" s="493" t="n"/>
    </row>
    <row r="709" ht="15.75" customHeight="1" s="408">
      <c r="B709" s="493" t="n"/>
    </row>
    <row r="710" ht="15.75" customHeight="1" s="408">
      <c r="B710" s="493" t="n"/>
    </row>
    <row r="711" ht="15.75" customHeight="1" s="408">
      <c r="B711" s="493" t="n"/>
    </row>
    <row r="712" ht="15.75" customHeight="1" s="408">
      <c r="B712" s="493" t="n"/>
    </row>
    <row r="713" ht="15.75" customHeight="1" s="408">
      <c r="B713" s="493" t="n"/>
    </row>
    <row r="714" ht="15.75" customHeight="1" s="408">
      <c r="B714" s="493" t="n"/>
    </row>
    <row r="715" ht="15.75" customHeight="1" s="408">
      <c r="B715" s="493" t="n"/>
    </row>
    <row r="716" ht="15.75" customHeight="1" s="408">
      <c r="B716" s="493" t="n"/>
    </row>
    <row r="717" ht="15.75" customHeight="1" s="408">
      <c r="B717" s="493" t="n"/>
    </row>
    <row r="718" ht="15.75" customHeight="1" s="408">
      <c r="B718" s="493" t="n"/>
    </row>
    <row r="719" ht="15.75" customHeight="1" s="408">
      <c r="B719" s="493" t="n"/>
    </row>
    <row r="720" ht="15.75" customHeight="1" s="408">
      <c r="B720" s="493" t="n"/>
    </row>
    <row r="721" ht="15.75" customHeight="1" s="408">
      <c r="B721" s="493" t="n"/>
    </row>
    <row r="722" ht="15.75" customHeight="1" s="408">
      <c r="B722" s="493" t="n"/>
    </row>
    <row r="723" ht="15.75" customHeight="1" s="408">
      <c r="B723" s="493" t="n"/>
    </row>
    <row r="724" ht="15.75" customHeight="1" s="408">
      <c r="B724" s="493" t="n"/>
    </row>
    <row r="725" ht="15.75" customHeight="1" s="408">
      <c r="B725" s="493" t="n"/>
    </row>
    <row r="726" ht="15.75" customHeight="1" s="408">
      <c r="B726" s="493" t="n"/>
    </row>
    <row r="727" ht="15.75" customHeight="1" s="408">
      <c r="B727" s="493" t="n"/>
    </row>
    <row r="728" ht="15.75" customHeight="1" s="408">
      <c r="B728" s="493" t="n"/>
    </row>
    <row r="729" ht="15.75" customHeight="1" s="408">
      <c r="B729" s="493" t="n"/>
    </row>
    <row r="730" ht="15.75" customHeight="1" s="408">
      <c r="B730" s="493" t="n"/>
    </row>
    <row r="731" ht="15.75" customHeight="1" s="408">
      <c r="B731" s="493" t="n"/>
    </row>
    <row r="732" ht="15.75" customHeight="1" s="408">
      <c r="B732" s="493" t="n"/>
    </row>
    <row r="733" ht="15.75" customHeight="1" s="408">
      <c r="B733" s="493" t="n"/>
    </row>
    <row r="734" ht="15.75" customHeight="1" s="408">
      <c r="B734" s="493" t="n"/>
    </row>
    <row r="735" ht="15.75" customHeight="1" s="408">
      <c r="B735" s="493" t="n"/>
    </row>
    <row r="736" ht="15.75" customHeight="1" s="408">
      <c r="B736" s="493" t="n"/>
    </row>
    <row r="737" ht="15.75" customHeight="1" s="408">
      <c r="B737" s="493" t="n"/>
    </row>
    <row r="738" ht="15.75" customHeight="1" s="408">
      <c r="B738" s="493" t="n"/>
    </row>
    <row r="739" ht="15.75" customHeight="1" s="408">
      <c r="B739" s="493" t="n"/>
    </row>
    <row r="740" ht="15.75" customHeight="1" s="408">
      <c r="B740" s="493" t="n"/>
    </row>
    <row r="741" ht="15.75" customHeight="1" s="408">
      <c r="B741" s="493" t="n"/>
    </row>
    <row r="742" ht="15.75" customHeight="1" s="408">
      <c r="B742" s="493" t="n"/>
    </row>
    <row r="743" ht="15.75" customHeight="1" s="408">
      <c r="B743" s="493" t="n"/>
    </row>
    <row r="744" ht="15.75" customHeight="1" s="408">
      <c r="B744" s="493" t="n"/>
    </row>
    <row r="745" ht="15.75" customHeight="1" s="408">
      <c r="B745" s="493" t="n"/>
    </row>
    <row r="746" ht="15.75" customHeight="1" s="408">
      <c r="B746" s="493" t="n"/>
    </row>
    <row r="747" ht="15.75" customHeight="1" s="408">
      <c r="B747" s="493" t="n"/>
    </row>
    <row r="748" ht="15.75" customHeight="1" s="408">
      <c r="B748" s="493" t="n"/>
    </row>
    <row r="749" ht="15.75" customHeight="1" s="408">
      <c r="B749" s="493" t="n"/>
    </row>
    <row r="750" ht="15.75" customHeight="1" s="408">
      <c r="B750" s="493" t="n"/>
    </row>
    <row r="751" ht="15.75" customHeight="1" s="408">
      <c r="B751" s="493" t="n"/>
    </row>
    <row r="752" ht="15.75" customHeight="1" s="408">
      <c r="B752" s="493" t="n"/>
    </row>
    <row r="753" ht="15.75" customHeight="1" s="408">
      <c r="B753" s="493" t="n"/>
    </row>
    <row r="754" ht="15.75" customHeight="1" s="408">
      <c r="B754" s="493" t="n"/>
    </row>
    <row r="755" ht="15.75" customHeight="1" s="408">
      <c r="B755" s="493" t="n"/>
    </row>
    <row r="756" ht="15.75" customHeight="1" s="408">
      <c r="B756" s="493" t="n"/>
    </row>
    <row r="757" ht="15.75" customHeight="1" s="408">
      <c r="B757" s="493" t="n"/>
    </row>
    <row r="758" ht="15.75" customHeight="1" s="408">
      <c r="B758" s="493" t="n"/>
    </row>
    <row r="759" ht="15.75" customHeight="1" s="408">
      <c r="B759" s="493" t="n"/>
    </row>
    <row r="760" ht="15.75" customHeight="1" s="408">
      <c r="B760" s="493" t="n"/>
    </row>
    <row r="761" ht="15.75" customHeight="1" s="408">
      <c r="B761" s="493" t="n"/>
    </row>
    <row r="762" ht="15.75" customHeight="1" s="408">
      <c r="B762" s="493" t="n"/>
    </row>
    <row r="763" ht="15.75" customHeight="1" s="408">
      <c r="B763" s="493" t="n"/>
    </row>
    <row r="764" ht="15.75" customHeight="1" s="408">
      <c r="B764" s="493" t="n"/>
    </row>
    <row r="765" ht="15.75" customHeight="1" s="408">
      <c r="B765" s="493" t="n"/>
    </row>
    <row r="766" ht="15.75" customHeight="1" s="408">
      <c r="B766" s="493" t="n"/>
    </row>
    <row r="767" ht="15.75" customHeight="1" s="408">
      <c r="B767" s="493" t="n"/>
    </row>
    <row r="768" ht="15.75" customHeight="1" s="408">
      <c r="B768" s="493" t="n"/>
    </row>
    <row r="769" ht="15.75" customHeight="1" s="408">
      <c r="B769" s="493" t="n"/>
    </row>
    <row r="770" ht="15.75" customHeight="1" s="408">
      <c r="B770" s="493" t="n"/>
    </row>
    <row r="771" ht="15.75" customHeight="1" s="408">
      <c r="B771" s="493" t="n"/>
    </row>
    <row r="772" ht="15.75" customHeight="1" s="408">
      <c r="B772" s="493" t="n"/>
    </row>
    <row r="773" ht="15.75" customHeight="1" s="408">
      <c r="B773" s="493" t="n"/>
    </row>
    <row r="774" ht="15.75" customHeight="1" s="408">
      <c r="B774" s="493" t="n"/>
    </row>
    <row r="775" ht="15.75" customHeight="1" s="408">
      <c r="B775" s="493" t="n"/>
    </row>
    <row r="776" ht="15.75" customHeight="1" s="408">
      <c r="B776" s="493" t="n"/>
    </row>
    <row r="777" ht="15.75" customHeight="1" s="408">
      <c r="B777" s="493" t="n"/>
    </row>
    <row r="778" ht="15.75" customHeight="1" s="408">
      <c r="B778" s="493" t="n"/>
    </row>
    <row r="779" ht="15.75" customHeight="1" s="408">
      <c r="B779" s="493" t="n"/>
    </row>
    <row r="780" ht="15.75" customHeight="1" s="408">
      <c r="B780" s="493" t="n"/>
    </row>
    <row r="781" ht="15.75" customHeight="1" s="408">
      <c r="B781" s="493" t="n"/>
    </row>
    <row r="782" ht="15.75" customHeight="1" s="408">
      <c r="B782" s="493" t="n"/>
    </row>
    <row r="783" ht="15.75" customHeight="1" s="408">
      <c r="B783" s="493" t="n"/>
    </row>
    <row r="784" ht="15.75" customHeight="1" s="408">
      <c r="B784" s="493" t="n"/>
    </row>
    <row r="785" ht="15.75" customHeight="1" s="408">
      <c r="B785" s="493" t="n"/>
    </row>
    <row r="786" ht="15.75" customHeight="1" s="408">
      <c r="B786" s="493" t="n"/>
    </row>
    <row r="787" ht="15.75" customHeight="1" s="408">
      <c r="B787" s="493" t="n"/>
    </row>
    <row r="788" ht="15.75" customHeight="1" s="408">
      <c r="B788" s="493" t="n"/>
    </row>
    <row r="789" ht="15.75" customHeight="1" s="408">
      <c r="B789" s="493" t="n"/>
    </row>
    <row r="790" ht="15.75" customHeight="1" s="408">
      <c r="B790" s="493" t="n"/>
    </row>
    <row r="791" ht="15.75" customHeight="1" s="408">
      <c r="B791" s="493" t="n"/>
    </row>
    <row r="792" ht="15.75" customHeight="1" s="408">
      <c r="B792" s="493" t="n"/>
    </row>
    <row r="793" ht="15.75" customHeight="1" s="408">
      <c r="B793" s="493" t="n"/>
    </row>
    <row r="794" ht="15.75" customHeight="1" s="408">
      <c r="B794" s="493" t="n"/>
    </row>
    <row r="795" ht="15.75" customHeight="1" s="408">
      <c r="B795" s="493" t="n"/>
    </row>
    <row r="796" ht="15.75" customHeight="1" s="408">
      <c r="B796" s="493" t="n"/>
    </row>
    <row r="797" ht="15.75" customHeight="1" s="408">
      <c r="B797" s="493" t="n"/>
    </row>
    <row r="798" ht="15.75" customHeight="1" s="408">
      <c r="B798" s="493" t="n"/>
    </row>
    <row r="799" ht="15.75" customHeight="1" s="408">
      <c r="B799" s="493" t="n"/>
    </row>
    <row r="800" ht="15.75" customHeight="1" s="408">
      <c r="B800" s="493" t="n"/>
    </row>
    <row r="801" ht="15.75" customHeight="1" s="408">
      <c r="B801" s="493" t="n"/>
    </row>
    <row r="802" ht="15.75" customHeight="1" s="408">
      <c r="B802" s="493" t="n"/>
    </row>
    <row r="803" ht="15.75" customHeight="1" s="408">
      <c r="B803" s="493" t="n"/>
    </row>
    <row r="804" ht="15.75" customHeight="1" s="408">
      <c r="B804" s="493" t="n"/>
    </row>
    <row r="805" ht="15.75" customHeight="1" s="408">
      <c r="B805" s="493" t="n"/>
    </row>
    <row r="806" ht="15.75" customHeight="1" s="408">
      <c r="B806" s="493" t="n"/>
    </row>
    <row r="807" ht="15.75" customHeight="1" s="408">
      <c r="B807" s="493" t="n"/>
    </row>
    <row r="808" ht="15.75" customHeight="1" s="408">
      <c r="B808" s="493" t="n"/>
    </row>
    <row r="809" ht="15.75" customHeight="1" s="408">
      <c r="B809" s="493" t="n"/>
    </row>
    <row r="810" ht="15.75" customHeight="1" s="408">
      <c r="B810" s="493" t="n"/>
    </row>
    <row r="811" ht="15.75" customHeight="1" s="408">
      <c r="B811" s="493" t="n"/>
    </row>
    <row r="812" ht="15.75" customHeight="1" s="408">
      <c r="B812" s="493" t="n"/>
    </row>
    <row r="813" ht="15.75" customHeight="1" s="408">
      <c r="B813" s="493" t="n"/>
    </row>
    <row r="814" ht="15.75" customHeight="1" s="408">
      <c r="B814" s="493" t="n"/>
    </row>
    <row r="815" ht="15.75" customHeight="1" s="408">
      <c r="B815" s="493" t="n"/>
    </row>
    <row r="816" ht="15.75" customHeight="1" s="408">
      <c r="B816" s="493" t="n"/>
    </row>
    <row r="817" ht="15.75" customHeight="1" s="408">
      <c r="B817" s="493" t="n"/>
    </row>
    <row r="818" ht="15.75" customHeight="1" s="408">
      <c r="B818" s="493" t="n"/>
    </row>
    <row r="819" ht="15.75" customHeight="1" s="408">
      <c r="B819" s="493" t="n"/>
    </row>
    <row r="820" ht="15.75" customHeight="1" s="408">
      <c r="B820" s="493" t="n"/>
    </row>
    <row r="821" ht="15.75" customHeight="1" s="408">
      <c r="B821" s="493" t="n"/>
    </row>
    <row r="822" ht="15.75" customHeight="1" s="408">
      <c r="B822" s="493" t="n"/>
    </row>
    <row r="823" ht="15.75" customHeight="1" s="408">
      <c r="B823" s="493" t="n"/>
    </row>
    <row r="824" ht="15.75" customHeight="1" s="408">
      <c r="B824" s="493" t="n"/>
    </row>
    <row r="825" ht="15.75" customHeight="1" s="408">
      <c r="B825" s="493" t="n"/>
    </row>
    <row r="826" ht="15.75" customHeight="1" s="408">
      <c r="B826" s="493" t="n"/>
    </row>
    <row r="827" ht="15.75" customHeight="1" s="408">
      <c r="B827" s="493" t="n"/>
    </row>
    <row r="828" ht="15.75" customHeight="1" s="408">
      <c r="B828" s="493" t="n"/>
    </row>
    <row r="829" ht="15.75" customHeight="1" s="408">
      <c r="B829" s="493" t="n"/>
    </row>
    <row r="830" ht="15.75" customHeight="1" s="408">
      <c r="B830" s="493" t="n"/>
    </row>
    <row r="831" ht="15.75" customHeight="1" s="408">
      <c r="B831" s="493" t="n"/>
    </row>
    <row r="832" ht="15.75" customHeight="1" s="408">
      <c r="B832" s="493" t="n"/>
    </row>
    <row r="833" ht="15.75" customHeight="1" s="408">
      <c r="B833" s="493" t="n"/>
    </row>
    <row r="834" ht="15.75" customHeight="1" s="408">
      <c r="B834" s="493" t="n"/>
    </row>
    <row r="835" ht="15.75" customHeight="1" s="408">
      <c r="B835" s="493" t="n"/>
    </row>
    <row r="836" ht="15.75" customHeight="1" s="408">
      <c r="B836" s="493" t="n"/>
    </row>
    <row r="837" ht="15.75" customHeight="1" s="408">
      <c r="B837" s="493" t="n"/>
    </row>
    <row r="838" ht="15.75" customHeight="1" s="408">
      <c r="B838" s="493" t="n"/>
    </row>
    <row r="839" ht="15.75" customHeight="1" s="408">
      <c r="B839" s="493" t="n"/>
    </row>
    <row r="840" ht="15.75" customHeight="1" s="408">
      <c r="B840" s="493" t="n"/>
    </row>
    <row r="841" ht="15.75" customHeight="1" s="408">
      <c r="B841" s="493" t="n"/>
    </row>
    <row r="842" ht="15.75" customHeight="1" s="408">
      <c r="B842" s="493" t="n"/>
    </row>
    <row r="843" ht="15.75" customHeight="1" s="408">
      <c r="B843" s="493" t="n"/>
    </row>
    <row r="844" ht="15.75" customHeight="1" s="408">
      <c r="B844" s="493" t="n"/>
    </row>
    <row r="845" ht="15.75" customHeight="1" s="408">
      <c r="B845" s="493" t="n"/>
    </row>
    <row r="846" ht="15.75" customHeight="1" s="408">
      <c r="B846" s="493" t="n"/>
    </row>
    <row r="847" ht="15.75" customHeight="1" s="408">
      <c r="B847" s="493" t="n"/>
    </row>
    <row r="848" ht="15.75" customHeight="1" s="408">
      <c r="B848" s="493" t="n"/>
    </row>
    <row r="849" ht="15.75" customHeight="1" s="408">
      <c r="B849" s="493" t="n"/>
    </row>
    <row r="850" ht="15.75" customHeight="1" s="408">
      <c r="B850" s="493" t="n"/>
    </row>
    <row r="851" ht="15.75" customHeight="1" s="408">
      <c r="B851" s="493" t="n"/>
    </row>
    <row r="852" ht="15.75" customHeight="1" s="408">
      <c r="B852" s="493" t="n"/>
    </row>
    <row r="853" ht="15.75" customHeight="1" s="408">
      <c r="B853" s="493" t="n"/>
    </row>
    <row r="854" ht="15.75" customHeight="1" s="408">
      <c r="B854" s="493" t="n"/>
    </row>
    <row r="855" ht="15.75" customHeight="1" s="408">
      <c r="B855" s="493" t="n"/>
    </row>
    <row r="856" ht="15.75" customHeight="1" s="408">
      <c r="B856" s="493" t="n"/>
    </row>
    <row r="857" ht="15.75" customHeight="1" s="408">
      <c r="B857" s="493" t="n"/>
    </row>
    <row r="858" ht="15.75" customHeight="1" s="408">
      <c r="B858" s="493" t="n"/>
    </row>
    <row r="859" ht="15.75" customHeight="1" s="408">
      <c r="B859" s="493" t="n"/>
    </row>
    <row r="860" ht="15.75" customHeight="1" s="408">
      <c r="B860" s="493" t="n"/>
    </row>
    <row r="861" ht="15.75" customHeight="1" s="408">
      <c r="B861" s="493" t="n"/>
    </row>
    <row r="862" ht="15.75" customHeight="1" s="408">
      <c r="B862" s="493" t="n"/>
    </row>
    <row r="863" ht="15.75" customHeight="1" s="408">
      <c r="B863" s="493" t="n"/>
    </row>
    <row r="864" ht="15.75" customHeight="1" s="408">
      <c r="B864" s="493" t="n"/>
    </row>
    <row r="865" ht="15.75" customHeight="1" s="408">
      <c r="B865" s="493" t="n"/>
    </row>
    <row r="866" ht="15.75" customHeight="1" s="408">
      <c r="B866" s="493" t="n"/>
    </row>
    <row r="867" ht="15.75" customHeight="1" s="408">
      <c r="B867" s="493" t="n"/>
    </row>
    <row r="868" ht="15.75" customHeight="1" s="408">
      <c r="B868" s="493" t="n"/>
    </row>
    <row r="869" ht="15.75" customHeight="1" s="408">
      <c r="B869" s="493" t="n"/>
    </row>
    <row r="870" ht="15.75" customHeight="1" s="408">
      <c r="B870" s="493" t="n"/>
    </row>
    <row r="871" ht="15.75" customHeight="1" s="408">
      <c r="B871" s="493" t="n"/>
    </row>
    <row r="872" ht="15.75" customHeight="1" s="408">
      <c r="B872" s="493" t="n"/>
    </row>
    <row r="873" ht="15.75" customHeight="1" s="408">
      <c r="B873" s="493" t="n"/>
    </row>
    <row r="874" ht="15.75" customHeight="1" s="408">
      <c r="B874" s="493" t="n"/>
    </row>
    <row r="875" ht="15.75" customHeight="1" s="408">
      <c r="B875" s="493" t="n"/>
    </row>
    <row r="876" ht="15.75" customHeight="1" s="408">
      <c r="B876" s="493" t="n"/>
    </row>
    <row r="877" ht="15.75" customHeight="1" s="408">
      <c r="B877" s="493" t="n"/>
    </row>
    <row r="878" ht="15.75" customHeight="1" s="408">
      <c r="B878" s="493" t="n"/>
    </row>
    <row r="879" ht="15.75" customHeight="1" s="408">
      <c r="B879" s="493" t="n"/>
    </row>
    <row r="880" ht="15.75" customHeight="1" s="408">
      <c r="B880" s="493" t="n"/>
    </row>
    <row r="881" ht="15.75" customHeight="1" s="408">
      <c r="B881" s="493" t="n"/>
    </row>
    <row r="882" ht="15.75" customHeight="1" s="408">
      <c r="B882" s="493" t="n"/>
    </row>
    <row r="883" ht="15.75" customHeight="1" s="408">
      <c r="B883" s="493" t="n"/>
    </row>
    <row r="884" ht="15.75" customHeight="1" s="408">
      <c r="B884" s="493" t="n"/>
    </row>
    <row r="885" ht="15.75" customHeight="1" s="408">
      <c r="B885" s="493" t="n"/>
    </row>
    <row r="886" ht="15.75" customHeight="1" s="408">
      <c r="B886" s="493" t="n"/>
    </row>
    <row r="887" ht="15.75" customHeight="1" s="408">
      <c r="B887" s="493" t="n"/>
    </row>
    <row r="888" ht="15.75" customHeight="1" s="408">
      <c r="B888" s="493" t="n"/>
    </row>
    <row r="889" ht="15.75" customHeight="1" s="408">
      <c r="B889" s="493" t="n"/>
    </row>
    <row r="890" ht="15.75" customHeight="1" s="408">
      <c r="B890" s="493" t="n"/>
    </row>
    <row r="891" ht="15.75" customHeight="1" s="408">
      <c r="B891" s="493" t="n"/>
    </row>
    <row r="892" ht="15.75" customHeight="1" s="408">
      <c r="B892" s="493" t="n"/>
    </row>
    <row r="893" ht="15.75" customHeight="1" s="408">
      <c r="B893" s="493" t="n"/>
    </row>
    <row r="894" ht="15.75" customHeight="1" s="408">
      <c r="B894" s="493" t="n"/>
    </row>
    <row r="895" ht="15.75" customHeight="1" s="408">
      <c r="B895" s="493" t="n"/>
    </row>
    <row r="896" ht="15.75" customHeight="1" s="408">
      <c r="B896" s="493" t="n"/>
    </row>
    <row r="897" ht="15.75" customHeight="1" s="408">
      <c r="B897" s="493" t="n"/>
    </row>
    <row r="898" ht="15.75" customHeight="1" s="408">
      <c r="B898" s="493" t="n"/>
    </row>
    <row r="899" ht="15.75" customHeight="1" s="408">
      <c r="B899" s="493" t="n"/>
    </row>
    <row r="900" ht="15.75" customHeight="1" s="408">
      <c r="B900" s="493" t="n"/>
    </row>
    <row r="901" ht="15.75" customHeight="1" s="408">
      <c r="B901" s="493" t="n"/>
    </row>
    <row r="902" ht="15.75" customHeight="1" s="408">
      <c r="B902" s="493" t="n"/>
    </row>
    <row r="903" ht="15.75" customHeight="1" s="408">
      <c r="B903" s="493" t="n"/>
    </row>
    <row r="904" ht="15.75" customHeight="1" s="408">
      <c r="B904" s="493" t="n"/>
    </row>
    <row r="905" ht="15.75" customHeight="1" s="408">
      <c r="B905" s="493" t="n"/>
    </row>
    <row r="906" ht="15.75" customHeight="1" s="408">
      <c r="B906" s="493" t="n"/>
    </row>
    <row r="907" ht="15.75" customHeight="1" s="408">
      <c r="B907" s="493" t="n"/>
    </row>
    <row r="908" ht="15.75" customHeight="1" s="408">
      <c r="B908" s="493" t="n"/>
    </row>
    <row r="909" ht="15.75" customHeight="1" s="408">
      <c r="B909" s="493" t="n"/>
    </row>
    <row r="910" ht="15.75" customHeight="1" s="408">
      <c r="B910" s="493" t="n"/>
    </row>
    <row r="911" ht="15.75" customHeight="1" s="408">
      <c r="B911" s="493" t="n"/>
    </row>
    <row r="912" ht="15.75" customHeight="1" s="408">
      <c r="B912" s="493" t="n"/>
    </row>
    <row r="913" ht="15.75" customHeight="1" s="408">
      <c r="B913" s="493" t="n"/>
    </row>
    <row r="914" ht="15.75" customHeight="1" s="408">
      <c r="B914" s="493" t="n"/>
    </row>
    <row r="915" ht="15.75" customHeight="1" s="408">
      <c r="B915" s="493" t="n"/>
    </row>
    <row r="916" ht="15.75" customHeight="1" s="408">
      <c r="B916" s="493" t="n"/>
    </row>
    <row r="917" ht="15.75" customHeight="1" s="408">
      <c r="B917" s="493" t="n"/>
    </row>
    <row r="918" ht="15.75" customHeight="1" s="408">
      <c r="B918" s="493" t="n"/>
    </row>
    <row r="919" ht="15.75" customHeight="1" s="408">
      <c r="B919" s="493" t="n"/>
    </row>
    <row r="920" ht="15.75" customHeight="1" s="408">
      <c r="B920" s="493" t="n"/>
    </row>
    <row r="921" ht="15.75" customHeight="1" s="408">
      <c r="B921" s="493" t="n"/>
    </row>
    <row r="922" ht="15.75" customHeight="1" s="408">
      <c r="B922" s="493" t="n"/>
    </row>
    <row r="923" ht="15.75" customHeight="1" s="408">
      <c r="B923" s="493" t="n"/>
    </row>
    <row r="924" ht="15.75" customHeight="1" s="408">
      <c r="B924" s="493" t="n"/>
    </row>
    <row r="925" ht="15.75" customHeight="1" s="408">
      <c r="B925" s="493" t="n"/>
    </row>
    <row r="926" ht="15.75" customHeight="1" s="408">
      <c r="B926" s="493" t="n"/>
    </row>
    <row r="927" ht="15.75" customHeight="1" s="408">
      <c r="B927" s="493" t="n"/>
    </row>
    <row r="928" ht="15.75" customHeight="1" s="408">
      <c r="B928" s="493" t="n"/>
    </row>
    <row r="929" ht="15.75" customHeight="1" s="408">
      <c r="B929" s="493" t="n"/>
    </row>
    <row r="930" ht="15.75" customHeight="1" s="408">
      <c r="B930" s="493" t="n"/>
    </row>
    <row r="931" ht="15.75" customHeight="1" s="408">
      <c r="B931" s="493" t="n"/>
    </row>
    <row r="932" ht="15.75" customHeight="1" s="408">
      <c r="B932" s="493" t="n"/>
    </row>
    <row r="933" ht="15.75" customHeight="1" s="408">
      <c r="B933" s="493" t="n"/>
    </row>
    <row r="934" ht="15.75" customHeight="1" s="408">
      <c r="B934" s="493" t="n"/>
    </row>
    <row r="935" ht="15.75" customHeight="1" s="408">
      <c r="B935" s="493" t="n"/>
    </row>
    <row r="936" ht="15.75" customHeight="1" s="408">
      <c r="B936" s="493" t="n"/>
    </row>
    <row r="937" ht="15.75" customHeight="1" s="408">
      <c r="B937" s="493" t="n"/>
    </row>
    <row r="938" ht="15.75" customHeight="1" s="408">
      <c r="B938" s="493" t="n"/>
    </row>
    <row r="939" ht="15.75" customHeight="1" s="408">
      <c r="B939" s="493" t="n"/>
    </row>
    <row r="940" ht="15.75" customHeight="1" s="408">
      <c r="B940" s="493" t="n"/>
    </row>
    <row r="941" ht="15.75" customHeight="1" s="408">
      <c r="B941" s="493" t="n"/>
    </row>
    <row r="942" ht="15.75" customHeight="1" s="408">
      <c r="B942" s="493" t="n"/>
    </row>
    <row r="943" ht="15.75" customHeight="1" s="408">
      <c r="B943" s="493" t="n"/>
    </row>
    <row r="944" ht="15.75" customHeight="1" s="408">
      <c r="B944" s="493" t="n"/>
    </row>
    <row r="945" ht="15.75" customHeight="1" s="408">
      <c r="B945" s="493" t="n"/>
    </row>
    <row r="946" ht="15.75" customHeight="1" s="408">
      <c r="B946" s="493" t="n"/>
    </row>
    <row r="947" ht="15.75" customHeight="1" s="408">
      <c r="B947" s="493" t="n"/>
    </row>
    <row r="948" ht="15.75" customHeight="1" s="408">
      <c r="B948" s="493" t="n"/>
    </row>
    <row r="949" ht="15.75" customHeight="1" s="408">
      <c r="B949" s="493" t="n"/>
    </row>
    <row r="950" ht="15.75" customHeight="1" s="408">
      <c r="B950" s="493" t="n"/>
    </row>
    <row r="951" ht="15.75" customHeight="1" s="408">
      <c r="B951" s="493" t="n"/>
    </row>
    <row r="952" ht="15.75" customHeight="1" s="408">
      <c r="B952" s="493" t="n"/>
    </row>
    <row r="953" ht="15.75" customHeight="1" s="408">
      <c r="B953" s="493" t="n"/>
    </row>
    <row r="954" ht="15.75" customHeight="1" s="408">
      <c r="B954" s="493" t="n"/>
    </row>
    <row r="955" ht="15.75" customHeight="1" s="408">
      <c r="B955" s="493" t="n"/>
    </row>
    <row r="956" ht="15.75" customHeight="1" s="408">
      <c r="B956" s="493" t="n"/>
    </row>
    <row r="957" ht="15.75" customHeight="1" s="408">
      <c r="B957" s="493" t="n"/>
    </row>
    <row r="958" ht="15.75" customHeight="1" s="408">
      <c r="B958" s="493" t="n"/>
    </row>
    <row r="959" ht="15.75" customHeight="1" s="408">
      <c r="B959" s="493" t="n"/>
    </row>
    <row r="960" ht="15.75" customHeight="1" s="408">
      <c r="B960" s="493" t="n"/>
    </row>
    <row r="961" ht="15.75" customHeight="1" s="408">
      <c r="B961" s="493" t="n"/>
    </row>
    <row r="962" ht="15.75" customHeight="1" s="408">
      <c r="B962" s="493" t="n"/>
    </row>
    <row r="963" ht="15.75" customHeight="1" s="408">
      <c r="B963" s="493" t="n"/>
    </row>
    <row r="964" ht="15.75" customHeight="1" s="408">
      <c r="B964" s="493" t="n"/>
    </row>
    <row r="965" ht="15.75" customHeight="1" s="408">
      <c r="B965" s="493" t="n"/>
    </row>
    <row r="966" ht="15.75" customHeight="1" s="408">
      <c r="B966" s="493" t="n"/>
    </row>
    <row r="967" ht="15.75" customHeight="1" s="408">
      <c r="B967" s="493" t="n"/>
    </row>
    <row r="968" ht="15.75" customHeight="1" s="408">
      <c r="B968" s="493" t="n"/>
    </row>
    <row r="969" ht="15.75" customHeight="1" s="408">
      <c r="B969" s="493" t="n"/>
    </row>
    <row r="970" ht="15.75" customHeight="1" s="408">
      <c r="B970" s="493" t="n"/>
    </row>
    <row r="971" ht="15.75" customHeight="1" s="408">
      <c r="B971" s="493" t="n"/>
    </row>
    <row r="972" ht="15.75" customHeight="1" s="408">
      <c r="B972" s="493" t="n"/>
    </row>
    <row r="973" ht="15.75" customHeight="1" s="408">
      <c r="B973" s="493" t="n"/>
    </row>
    <row r="974" ht="15.75" customHeight="1" s="408">
      <c r="B974" s="493" t="n"/>
    </row>
    <row r="975" ht="15.75" customHeight="1" s="408">
      <c r="B975" s="493" t="n"/>
    </row>
    <row r="976" ht="15.75" customHeight="1" s="408">
      <c r="B976" s="493" t="n"/>
    </row>
    <row r="977" ht="15.75" customHeight="1" s="408">
      <c r="B977" s="493" t="n"/>
    </row>
    <row r="978" ht="15.75" customHeight="1" s="408">
      <c r="B978" s="493" t="n"/>
    </row>
    <row r="979" ht="15.75" customHeight="1" s="408">
      <c r="B979" s="493" t="n"/>
    </row>
    <row r="980" ht="15.75" customHeight="1" s="408">
      <c r="B980" s="493" t="n"/>
    </row>
    <row r="981" ht="15.75" customHeight="1" s="408">
      <c r="B981" s="493" t="n"/>
    </row>
    <row r="982" ht="15.75" customHeight="1" s="408">
      <c r="B982" s="493" t="n"/>
    </row>
    <row r="983" ht="15.75" customHeight="1" s="408">
      <c r="B983" s="493" t="n"/>
    </row>
    <row r="984" ht="15.75" customHeight="1" s="408">
      <c r="B984" s="493" t="n"/>
    </row>
    <row r="985" ht="15.75" customHeight="1" s="408">
      <c r="B985" s="493" t="n"/>
    </row>
    <row r="986" ht="15.75" customHeight="1" s="408">
      <c r="B986" s="493" t="n"/>
    </row>
    <row r="987" ht="15.75" customHeight="1" s="408">
      <c r="B987" s="493" t="n"/>
    </row>
    <row r="988" ht="15.75" customHeight="1" s="408">
      <c r="B988" s="493" t="n"/>
    </row>
    <row r="989" ht="15.75" customHeight="1" s="408">
      <c r="B989" s="493" t="n"/>
    </row>
    <row r="990" ht="15.75" customHeight="1" s="408">
      <c r="B990" s="493" t="n"/>
    </row>
    <row r="991" ht="15.75" customHeight="1" s="408">
      <c r="B991" s="493" t="n"/>
    </row>
    <row r="992" ht="15.75" customHeight="1" s="408">
      <c r="B992" s="493" t="n"/>
    </row>
    <row r="993" ht="15.75" customHeight="1" s="408">
      <c r="B993" s="493" t="n"/>
    </row>
    <row r="994" ht="15.75" customHeight="1" s="408">
      <c r="B994" s="493" t="n"/>
    </row>
    <row r="995" ht="15.75" customHeight="1" s="408">
      <c r="B995" s="493" t="n"/>
    </row>
    <row r="996" ht="15.75" customHeight="1" s="408">
      <c r="B996" s="493" t="n"/>
    </row>
    <row r="997" ht="15.75" customHeight="1" s="408">
      <c r="B997" s="493" t="n"/>
    </row>
    <row r="998" ht="15.75" customHeight="1" s="408">
      <c r="B998" s="493" t="n"/>
    </row>
    <row r="999" ht="15.75" customHeight="1" s="408">
      <c r="B999" s="493" t="n"/>
    </row>
    <row r="1000" ht="15.75" customHeight="1" s="408">
      <c r="B1000" s="493" t="n"/>
    </row>
  </sheetData>
  <mergeCells count="2">
    <mergeCell ref="C11:C13"/>
    <mergeCell ref="C3:C9"/>
  </mergeCells>
  <printOptions horizontalCentered="0" verticalCentered="0" headings="0" gridLines="0" gridLinesSet="1"/>
  <pageMargins left="0" right="0" top="0" bottom="0"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C1:F8"/>
  <sheetViews>
    <sheetView workbookViewId="0">
      <selection activeCell="A1" sqref="A1"/>
    </sheetView>
  </sheetViews>
  <sheetFormatPr baseColWidth="8" defaultRowHeight="15"/>
  <sheetData>
    <row r="1">
      <c r="C1" s="407" t="inlineStr">
        <is>
          <t>Status</t>
        </is>
      </c>
      <c r="E1" s="407" t="inlineStr">
        <is>
          <t>Priority</t>
        </is>
      </c>
      <c r="F1" s="407" t="inlineStr">
        <is>
          <t>TC Type</t>
        </is>
      </c>
    </row>
    <row r="2">
      <c r="C2" s="407" t="inlineStr">
        <is>
          <t>Todo</t>
        </is>
      </c>
      <c r="E2" s="407" t="inlineStr">
        <is>
          <t>High</t>
        </is>
      </c>
      <c r="F2" s="407" t="inlineStr">
        <is>
          <t>Function</t>
        </is>
      </c>
    </row>
    <row r="3">
      <c r="C3" s="407" t="inlineStr">
        <is>
          <t>Doing</t>
        </is>
      </c>
      <c r="E3" s="407" t="inlineStr">
        <is>
          <t>Medium</t>
        </is>
      </c>
      <c r="F3" s="407" t="inlineStr">
        <is>
          <t>GUI</t>
        </is>
      </c>
    </row>
    <row r="4">
      <c r="C4" s="407" t="inlineStr">
        <is>
          <t>Pass</t>
        </is>
      </c>
      <c r="E4" s="407" t="inlineStr">
        <is>
          <t>Low</t>
        </is>
      </c>
      <c r="F4" s="407" t="inlineStr">
        <is>
          <t>Others</t>
        </is>
      </c>
    </row>
    <row r="5">
      <c r="C5" s="407" t="inlineStr">
        <is>
          <t>Fail</t>
        </is>
      </c>
    </row>
    <row r="6">
      <c r="C6" s="407" t="inlineStr">
        <is>
          <t>Pending</t>
        </is>
      </c>
    </row>
    <row r="7">
      <c r="C7" s="407" t="inlineStr">
        <is>
          <t>Re-Test</t>
        </is>
      </c>
    </row>
    <row r="8">
      <c r="C8" s="40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vi-VN</dc:language>
  <dcterms:created xmlns:dcterms="http://purl.org/dc/terms/" xmlns:xsi="http://www.w3.org/2001/XMLSchema-instance" xsi:type="dcterms:W3CDTF">2024-11-14T06:27:21Z</dcterms:created>
  <dcterms:modified xmlns:dcterms="http://purl.org/dc/terms/" xmlns:xsi="http://www.w3.org/2001/XMLSchema-instance" xsi:type="dcterms:W3CDTF">2026-10-28T07:05:55Z</dcterms:modified>
  <cp:revision>3</cp:revision>
</cp:coreProperties>
</file>